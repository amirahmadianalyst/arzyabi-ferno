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بزرگوار اشرف\ارزیابی های جدید\"/>
    </mc:Choice>
  </mc:AlternateContent>
  <xr:revisionPtr revIDLastSave="0" documentId="13_ncr:1_{8DB1B8BC-7358-4B5D-8F03-5B69F41FAF20}" xr6:coauthVersionLast="47" xr6:coauthVersionMax="47" xr10:uidLastSave="{00000000-0000-0000-0000-000000000000}"/>
  <bookViews>
    <workbookView xWindow="-120" yWindow="-120" windowWidth="20730" windowHeight="11160" activeTab="6" xr2:uid="{69F2F728-980D-42CE-B384-1BC3EAC72E75}"/>
  </bookViews>
  <sheets>
    <sheet name="مترجم" sheetId="7" r:id="rId1"/>
    <sheet name="مرجع" sheetId="1" r:id="rId2"/>
    <sheet name="سالن" sheetId="2" r:id="rId3"/>
    <sheet name="کال سنتر" sheetId="3" r:id="rId4"/>
    <sheet name="صندوق" sheetId="4" r:id="rId5"/>
    <sheet name="آشپزخانه" sheetId="5" r:id="rId6"/>
    <sheet name="تولید" sheetId="6" r:id="rId7"/>
  </sheets>
  <definedNames>
    <definedName name="_xlnm.Print_Area" localSheetId="5">آشپزخانه!$B$1:$Q$44</definedName>
    <definedName name="_xlnm.Print_Area" localSheetId="6">تولید!$B$1:$M$29</definedName>
    <definedName name="_xlnm.Print_Area" localSheetId="2">سالن!$B$1:$O$27</definedName>
    <definedName name="_xlnm.Print_Area" localSheetId="4">صندوق!$B$1:$L$17</definedName>
    <definedName name="_xlnm.Print_Area" localSheetId="3">'کال سنتر'!$B$1:$M$17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19" i="5" l="1"/>
  <c r="P11" i="2"/>
  <c r="R10" i="5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2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R3" i="5" l="1"/>
  <c r="R4" i="5"/>
  <c r="R5" i="5"/>
  <c r="R6" i="5"/>
  <c r="R7" i="5"/>
  <c r="R8" i="5"/>
  <c r="R9" i="5"/>
  <c r="R11" i="5"/>
  <c r="R12" i="5"/>
  <c r="R13" i="5"/>
  <c r="R14" i="5"/>
  <c r="R15" i="5"/>
  <c r="R16" i="5"/>
  <c r="R17" i="5"/>
  <c r="R18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2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8" i="5"/>
  <c r="A17" i="5"/>
  <c r="A16" i="5"/>
  <c r="A15" i="5"/>
  <c r="A14" i="5"/>
  <c r="A13" i="5"/>
  <c r="A12" i="5"/>
  <c r="A11" i="5"/>
  <c r="A9" i="5"/>
  <c r="A8" i="5"/>
  <c r="A7" i="5"/>
  <c r="A6" i="5"/>
  <c r="A5" i="5"/>
  <c r="A4" i="5"/>
  <c r="A3" i="5"/>
  <c r="A2" i="5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2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2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P179" i="2"/>
  <c r="P180" i="2"/>
  <c r="P181" i="2"/>
  <c r="P182" i="2"/>
  <c r="P183" i="2"/>
  <c r="P184" i="2"/>
  <c r="P185" i="2"/>
  <c r="P186" i="2"/>
  <c r="P187" i="2"/>
  <c r="P188" i="2"/>
  <c r="P189" i="2"/>
  <c r="P190" i="2"/>
  <c r="P3" i="2"/>
  <c r="P4" i="2"/>
  <c r="P5" i="2"/>
  <c r="P6" i="2"/>
  <c r="P7" i="2"/>
  <c r="P8" i="2"/>
  <c r="P9" i="2"/>
  <c r="P10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2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<sst xmlns="http://schemas.openxmlformats.org/spreadsheetml/2006/main" count="897" uniqueCount="620">
  <si>
    <t>سال</t>
  </si>
  <si>
    <t>ماه</t>
  </si>
  <si>
    <t>هفته</t>
  </si>
  <si>
    <t>نمره</t>
  </si>
  <si>
    <t>تاریخ</t>
  </si>
  <si>
    <t>شماره ماه</t>
  </si>
  <si>
    <t>بخش ها</t>
  </si>
  <si>
    <t>اسامی پرسنل سالن</t>
  </si>
  <si>
    <t>اسامی پرسنل اپراتور</t>
  </si>
  <si>
    <t>اسامی پرسنل صندوق</t>
  </si>
  <si>
    <t>اسامی پرسنل آشپزخانه</t>
  </si>
  <si>
    <t>بخش</t>
  </si>
  <si>
    <t>اسامی پرسنل کانتر</t>
  </si>
  <si>
    <t>اسامی پرسنل ارسال</t>
  </si>
  <si>
    <t>اسامی پرسنل تولید</t>
  </si>
  <si>
    <t>بخش های آشپزخانه</t>
  </si>
  <si>
    <t>کرایه حمل</t>
  </si>
  <si>
    <t>زمان استاندارد</t>
  </si>
  <si>
    <t>گزینه</t>
  </si>
  <si>
    <t>بایرنی</t>
  </si>
  <si>
    <t>1404/04/14</t>
  </si>
  <si>
    <t>فروردین</t>
  </si>
  <si>
    <t>سالن</t>
  </si>
  <si>
    <t>جوان دوست</t>
  </si>
  <si>
    <t>ترکانلو</t>
  </si>
  <si>
    <t>شفیقی</t>
  </si>
  <si>
    <t>ساندویچ</t>
  </si>
  <si>
    <t>خانی</t>
  </si>
  <si>
    <t>فرپیتزا</t>
  </si>
  <si>
    <t>تائید</t>
  </si>
  <si>
    <t>بله</t>
  </si>
  <si>
    <t>1404/04/15</t>
  </si>
  <si>
    <t>اردیبهشت</t>
  </si>
  <si>
    <t>ارسال</t>
  </si>
  <si>
    <t>فر</t>
  </si>
  <si>
    <t>آخوند زاده</t>
  </si>
  <si>
    <t>عدم تائید</t>
  </si>
  <si>
    <t>خیر</t>
  </si>
  <si>
    <t>1404/04/16</t>
  </si>
  <si>
    <t>خرداد</t>
  </si>
  <si>
    <t>کانتر</t>
  </si>
  <si>
    <t>رهنما</t>
  </si>
  <si>
    <t>سوخاری</t>
  </si>
  <si>
    <t>1404/04/17</t>
  </si>
  <si>
    <t>تیر</t>
  </si>
  <si>
    <t>پیک</t>
  </si>
  <si>
    <t>قربانی</t>
  </si>
  <si>
    <t>سیدان</t>
  </si>
  <si>
    <t>پاستا</t>
  </si>
  <si>
    <t>جهاندیده</t>
  </si>
  <si>
    <t>1404/04/18</t>
  </si>
  <si>
    <t>مرداد</t>
  </si>
  <si>
    <t>ساندویج / سوخاری</t>
  </si>
  <si>
    <t>1404/04/19</t>
  </si>
  <si>
    <t>شهریور</t>
  </si>
  <si>
    <t>سلامتی</t>
  </si>
  <si>
    <t>خوشدل</t>
  </si>
  <si>
    <t>ساندویچ / فر</t>
  </si>
  <si>
    <t>1404/04/20</t>
  </si>
  <si>
    <t>مهر</t>
  </si>
  <si>
    <t>ساندویچ / پاستا</t>
  </si>
  <si>
    <t>1404/04/21</t>
  </si>
  <si>
    <t>آبان</t>
  </si>
  <si>
    <t>فر / سوخاری</t>
  </si>
  <si>
    <t>1404/04/22</t>
  </si>
  <si>
    <t>آذر</t>
  </si>
  <si>
    <t>دیسپلی</t>
  </si>
  <si>
    <t>فر / پاستا</t>
  </si>
  <si>
    <t>رحیمی</t>
  </si>
  <si>
    <t>1404/04/23</t>
  </si>
  <si>
    <t>دی</t>
  </si>
  <si>
    <t>اپراتور</t>
  </si>
  <si>
    <t>سوخاری / پاستا</t>
  </si>
  <si>
    <t>1404/04/24</t>
  </si>
  <si>
    <t>بهمن</t>
  </si>
  <si>
    <t>صندوق</t>
  </si>
  <si>
    <t>مسعودی</t>
  </si>
  <si>
    <t>1404/04/25</t>
  </si>
  <si>
    <t>اسفند</t>
  </si>
  <si>
    <t>دیس پلی</t>
  </si>
  <si>
    <t>1404/04/26</t>
  </si>
  <si>
    <t>صفری</t>
  </si>
  <si>
    <t>1404/04/27</t>
  </si>
  <si>
    <t>1404/04/28</t>
  </si>
  <si>
    <t>حسن زاده</t>
  </si>
  <si>
    <t>1404/04/29</t>
  </si>
  <si>
    <t>1404/04/30</t>
  </si>
  <si>
    <t>1404/04/31</t>
  </si>
  <si>
    <t>1404/05/01</t>
  </si>
  <si>
    <t>1404/05/02</t>
  </si>
  <si>
    <t>1404/05/03</t>
  </si>
  <si>
    <t>1404/05/04</t>
  </si>
  <si>
    <t>1404/05/05</t>
  </si>
  <si>
    <t>1404/05/06</t>
  </si>
  <si>
    <t>1404/05/07</t>
  </si>
  <si>
    <t>1404/05/08</t>
  </si>
  <si>
    <t>1404/05/09</t>
  </si>
  <si>
    <t>1404/05/10</t>
  </si>
  <si>
    <t>1404/05/11</t>
  </si>
  <si>
    <t>1404/05/12</t>
  </si>
  <si>
    <t>1404/05/13</t>
  </si>
  <si>
    <t>1404/05/14</t>
  </si>
  <si>
    <t>1404/05/15</t>
  </si>
  <si>
    <t>1404/05/16</t>
  </si>
  <si>
    <t>1404/05/17</t>
  </si>
  <si>
    <t>1404/05/18</t>
  </si>
  <si>
    <t>1404/05/19</t>
  </si>
  <si>
    <t>1404/05/20</t>
  </si>
  <si>
    <t>1404/05/21</t>
  </si>
  <si>
    <t>1404/05/22</t>
  </si>
  <si>
    <t>1404/05/23</t>
  </si>
  <si>
    <t>1404/05/24</t>
  </si>
  <si>
    <t>1404/05/25</t>
  </si>
  <si>
    <t>1404/05/26</t>
  </si>
  <si>
    <t>1404/05/27</t>
  </si>
  <si>
    <t>1404/05/28</t>
  </si>
  <si>
    <t>1404/05/29</t>
  </si>
  <si>
    <t>1404/05/30</t>
  </si>
  <si>
    <t>1404/05/31</t>
  </si>
  <si>
    <t>1404/06/01</t>
  </si>
  <si>
    <t>1404/06/02</t>
  </si>
  <si>
    <t>1404/06/03</t>
  </si>
  <si>
    <t>1404/06/04</t>
  </si>
  <si>
    <t>1404/06/05</t>
  </si>
  <si>
    <t>1404/06/06</t>
  </si>
  <si>
    <t>1404/06/07</t>
  </si>
  <si>
    <t>1404/06/08</t>
  </si>
  <si>
    <t>1404/06/09</t>
  </si>
  <si>
    <t>1404/06/10</t>
  </si>
  <si>
    <t>1404/06/11</t>
  </si>
  <si>
    <t>1404/06/12</t>
  </si>
  <si>
    <t>1404/06/13</t>
  </si>
  <si>
    <t>1404/06/14</t>
  </si>
  <si>
    <t>1404/06/15</t>
  </si>
  <si>
    <t>1404/06/16</t>
  </si>
  <si>
    <t>1404/06/17</t>
  </si>
  <si>
    <t>1404/06/18</t>
  </si>
  <si>
    <t>1404/06/19</t>
  </si>
  <si>
    <t>1404/06/20</t>
  </si>
  <si>
    <t>1404/06/21</t>
  </si>
  <si>
    <t>1404/06/22</t>
  </si>
  <si>
    <t>1404/06/23</t>
  </si>
  <si>
    <t>1404/06/24</t>
  </si>
  <si>
    <t>1404/06/25</t>
  </si>
  <si>
    <t>1404/06/26</t>
  </si>
  <si>
    <t>1404/06/27</t>
  </si>
  <si>
    <t>1404/06/28</t>
  </si>
  <si>
    <t>1404/06/29</t>
  </si>
  <si>
    <t>1404/06/30</t>
  </si>
  <si>
    <t>1404/06/31</t>
  </si>
  <si>
    <t>1404/07/01</t>
  </si>
  <si>
    <t>1404/07/02</t>
  </si>
  <si>
    <t>1404/07/03</t>
  </si>
  <si>
    <t>1404/07/04</t>
  </si>
  <si>
    <t>1404/07/05</t>
  </si>
  <si>
    <t>1404/07/06</t>
  </si>
  <si>
    <t>1404/07/07</t>
  </si>
  <si>
    <t>1404/07/08</t>
  </si>
  <si>
    <t>1404/07/09</t>
  </si>
  <si>
    <t>1404/07/10</t>
  </si>
  <si>
    <t>1404/07/11</t>
  </si>
  <si>
    <t>1404/07/12</t>
  </si>
  <si>
    <t>1404/07/13</t>
  </si>
  <si>
    <t>1404/07/14</t>
  </si>
  <si>
    <t>1404/07/15</t>
  </si>
  <si>
    <t>1404/07/16</t>
  </si>
  <si>
    <t>1404/07/17</t>
  </si>
  <si>
    <t>1404/07/18</t>
  </si>
  <si>
    <t>1404/07/19</t>
  </si>
  <si>
    <t>1404/07/20</t>
  </si>
  <si>
    <t>1404/07/21</t>
  </si>
  <si>
    <t>1404/07/22</t>
  </si>
  <si>
    <t>1404/07/23</t>
  </si>
  <si>
    <t>1404/07/24</t>
  </si>
  <si>
    <t>1404/07/25</t>
  </si>
  <si>
    <t>1404/07/26</t>
  </si>
  <si>
    <t>1404/07/27</t>
  </si>
  <si>
    <t>1404/07/28</t>
  </si>
  <si>
    <t>1404/07/29</t>
  </si>
  <si>
    <t>1404/07/30</t>
  </si>
  <si>
    <t>1404/07/31</t>
  </si>
  <si>
    <t>1404/08/01</t>
  </si>
  <si>
    <t>1404/08/02</t>
  </si>
  <si>
    <t>1404/08/03</t>
  </si>
  <si>
    <t>1404/08/04</t>
  </si>
  <si>
    <t>1404/08/05</t>
  </si>
  <si>
    <t>1404/08/06</t>
  </si>
  <si>
    <t>1404/08/07</t>
  </si>
  <si>
    <t>1404/08/08</t>
  </si>
  <si>
    <t>1404/08/09</t>
  </si>
  <si>
    <t>1404/08/10</t>
  </si>
  <si>
    <t>1404/08/11</t>
  </si>
  <si>
    <t>1404/08/12</t>
  </si>
  <si>
    <t>1404/08/13</t>
  </si>
  <si>
    <t>1404/08/14</t>
  </si>
  <si>
    <t>1404/08/15</t>
  </si>
  <si>
    <t>1404/08/16</t>
  </si>
  <si>
    <t>1404/08/17</t>
  </si>
  <si>
    <t>1404/08/18</t>
  </si>
  <si>
    <t>1404/08/19</t>
  </si>
  <si>
    <t>1404/08/20</t>
  </si>
  <si>
    <t>1404/08/21</t>
  </si>
  <si>
    <t>1404/08/22</t>
  </si>
  <si>
    <t>1404/08/23</t>
  </si>
  <si>
    <t>1404/08/24</t>
  </si>
  <si>
    <t>1404/08/25</t>
  </si>
  <si>
    <t>1404/08/26</t>
  </si>
  <si>
    <t>1404/08/27</t>
  </si>
  <si>
    <t>1404/08/28</t>
  </si>
  <si>
    <t>1404/08/29</t>
  </si>
  <si>
    <t>1404/08/30</t>
  </si>
  <si>
    <t>1404/08/31</t>
  </si>
  <si>
    <t>1404/09/01</t>
  </si>
  <si>
    <t>1404/09/02</t>
  </si>
  <si>
    <t>1404/09/03</t>
  </si>
  <si>
    <t>1404/09/04</t>
  </si>
  <si>
    <t>1404/09/05</t>
  </si>
  <si>
    <t>1404/09/06</t>
  </si>
  <si>
    <t>1404/09/07</t>
  </si>
  <si>
    <t>1404/09/08</t>
  </si>
  <si>
    <t>1404/09/09</t>
  </si>
  <si>
    <t>1404/09/10</t>
  </si>
  <si>
    <t>1404/09/11</t>
  </si>
  <si>
    <t>1404/09/12</t>
  </si>
  <si>
    <t>1404/09/13</t>
  </si>
  <si>
    <t>1404/09/14</t>
  </si>
  <si>
    <t>1404/09/15</t>
  </si>
  <si>
    <t>1404/09/16</t>
  </si>
  <si>
    <t>1404/09/17</t>
  </si>
  <si>
    <t>1404/09/18</t>
  </si>
  <si>
    <t>1404/09/19</t>
  </si>
  <si>
    <t>1404/09/20</t>
  </si>
  <si>
    <t>1404/09/21</t>
  </si>
  <si>
    <t>1404/09/22</t>
  </si>
  <si>
    <t>1404/09/23</t>
  </si>
  <si>
    <t>1404/09/24</t>
  </si>
  <si>
    <t>1404/09/25</t>
  </si>
  <si>
    <t>1404/09/26</t>
  </si>
  <si>
    <t>1404/09/27</t>
  </si>
  <si>
    <t>1404/09/28</t>
  </si>
  <si>
    <t>1404/09/29</t>
  </si>
  <si>
    <t>1404/09/30</t>
  </si>
  <si>
    <t>1404/09/31</t>
  </si>
  <si>
    <t>1404/10/01</t>
  </si>
  <si>
    <t>1404/10/02</t>
  </si>
  <si>
    <t>1404/10/03</t>
  </si>
  <si>
    <t>1404/10/04</t>
  </si>
  <si>
    <t>1404/10/05</t>
  </si>
  <si>
    <t>1404/10/06</t>
  </si>
  <si>
    <t>1404/10/07</t>
  </si>
  <si>
    <t>1404/10/08</t>
  </si>
  <si>
    <t>1404/10/09</t>
  </si>
  <si>
    <t>1404/10/10</t>
  </si>
  <si>
    <t>1404/10/11</t>
  </si>
  <si>
    <t>1404/10/12</t>
  </si>
  <si>
    <t>1404/10/13</t>
  </si>
  <si>
    <t>1404/10/14</t>
  </si>
  <si>
    <t>1404/10/15</t>
  </si>
  <si>
    <t>1404/10/16</t>
  </si>
  <si>
    <t>1404/10/17</t>
  </si>
  <si>
    <t>1404/10/18</t>
  </si>
  <si>
    <t>1404/10/19</t>
  </si>
  <si>
    <t>1404/10/20</t>
  </si>
  <si>
    <t>1404/10/21</t>
  </si>
  <si>
    <t>1404/10/22</t>
  </si>
  <si>
    <t>1404/10/23</t>
  </si>
  <si>
    <t>1404/10/24</t>
  </si>
  <si>
    <t>1404/10/25</t>
  </si>
  <si>
    <t>1404/10/26</t>
  </si>
  <si>
    <t>1404/10/27</t>
  </si>
  <si>
    <t>1404/10/28</t>
  </si>
  <si>
    <t>1404/10/29</t>
  </si>
  <si>
    <t>1404/10/30</t>
  </si>
  <si>
    <t>1404/10/31</t>
  </si>
  <si>
    <t>1404/11/01</t>
  </si>
  <si>
    <t>1404/11/02</t>
  </si>
  <si>
    <t>1404/11/03</t>
  </si>
  <si>
    <t>1404/11/04</t>
  </si>
  <si>
    <t>1404/11/05</t>
  </si>
  <si>
    <t>1404/11/06</t>
  </si>
  <si>
    <t>1404/11/07</t>
  </si>
  <si>
    <t>1404/11/08</t>
  </si>
  <si>
    <t>1404/11/09</t>
  </si>
  <si>
    <t>1404/11/10</t>
  </si>
  <si>
    <t>1404/11/11</t>
  </si>
  <si>
    <t>1404/11/12</t>
  </si>
  <si>
    <t>1404/11/13</t>
  </si>
  <si>
    <t>1404/11/14</t>
  </si>
  <si>
    <t>1404/11/15</t>
  </si>
  <si>
    <t>1404/11/16</t>
  </si>
  <si>
    <t>1404/11/17</t>
  </si>
  <si>
    <t>1404/11/18</t>
  </si>
  <si>
    <t>1404/11/19</t>
  </si>
  <si>
    <t>1404/11/20</t>
  </si>
  <si>
    <t>1404/11/21</t>
  </si>
  <si>
    <t>1404/11/22</t>
  </si>
  <si>
    <t>1404/11/23</t>
  </si>
  <si>
    <t>1404/11/24</t>
  </si>
  <si>
    <t>1404/11/25</t>
  </si>
  <si>
    <t>1404/11/26</t>
  </si>
  <si>
    <t>1404/11/27</t>
  </si>
  <si>
    <t>1404/11/28</t>
  </si>
  <si>
    <t>1404/11/29</t>
  </si>
  <si>
    <t>1404/11/30</t>
  </si>
  <si>
    <t>1404/11/31</t>
  </si>
  <si>
    <t>1404/12/01</t>
  </si>
  <si>
    <t>1404/12/02</t>
  </si>
  <si>
    <t>1404/12/03</t>
  </si>
  <si>
    <t>1404/12/04</t>
  </si>
  <si>
    <t>1404/12/05</t>
  </si>
  <si>
    <t>1404/12/06</t>
  </si>
  <si>
    <t>1404/12/07</t>
  </si>
  <si>
    <t>1404/12/08</t>
  </si>
  <si>
    <t>1404/12/09</t>
  </si>
  <si>
    <t>1404/12/10</t>
  </si>
  <si>
    <t>1404/12/11</t>
  </si>
  <si>
    <t>1404/12/12</t>
  </si>
  <si>
    <t>1404/12/13</t>
  </si>
  <si>
    <t>1404/12/14</t>
  </si>
  <si>
    <t>1404/12/15</t>
  </si>
  <si>
    <t>1404/12/16</t>
  </si>
  <si>
    <t>1404/12/17</t>
  </si>
  <si>
    <t>1404/12/18</t>
  </si>
  <si>
    <t>1404/12/19</t>
  </si>
  <si>
    <t>1404/12/20</t>
  </si>
  <si>
    <t>1404/12/21</t>
  </si>
  <si>
    <t>1404/12/22</t>
  </si>
  <si>
    <t>1404/12/23</t>
  </si>
  <si>
    <t>1404/12/24</t>
  </si>
  <si>
    <t>1404/12/25</t>
  </si>
  <si>
    <t>1404/12/26</t>
  </si>
  <si>
    <t>1404/12/27</t>
  </si>
  <si>
    <t>1404/12/28</t>
  </si>
  <si>
    <t>1404/12/29</t>
  </si>
  <si>
    <t>1404/12/30</t>
  </si>
  <si>
    <t>1404/12/31</t>
  </si>
  <si>
    <t>1405/01/01</t>
  </si>
  <si>
    <t>1405/01/02</t>
  </si>
  <si>
    <t>1405/01/03</t>
  </si>
  <si>
    <t>1405/01/04</t>
  </si>
  <si>
    <t>1405/01/05</t>
  </si>
  <si>
    <t>1405/01/06</t>
  </si>
  <si>
    <t>1405/01/07</t>
  </si>
  <si>
    <t>1405/01/08</t>
  </si>
  <si>
    <t>1405/01/09</t>
  </si>
  <si>
    <t>1405/01/10</t>
  </si>
  <si>
    <t>1405/01/11</t>
  </si>
  <si>
    <t>1405/01/12</t>
  </si>
  <si>
    <t>1405/01/13</t>
  </si>
  <si>
    <t>1405/01/14</t>
  </si>
  <si>
    <t>1405/01/15</t>
  </si>
  <si>
    <t>1405/01/16</t>
  </si>
  <si>
    <t>1405/01/17</t>
  </si>
  <si>
    <t>1405/01/18</t>
  </si>
  <si>
    <t>1405/01/19</t>
  </si>
  <si>
    <t>1405/01/20</t>
  </si>
  <si>
    <t>1405/01/21</t>
  </si>
  <si>
    <t>1405/01/22</t>
  </si>
  <si>
    <t>1405/01/23</t>
  </si>
  <si>
    <t>1405/01/24</t>
  </si>
  <si>
    <t>1405/01/25</t>
  </si>
  <si>
    <t>1405/01/26</t>
  </si>
  <si>
    <t>1405/01/27</t>
  </si>
  <si>
    <t>1405/01/28</t>
  </si>
  <si>
    <t>1405/01/29</t>
  </si>
  <si>
    <t>1405/01/30</t>
  </si>
  <si>
    <t>1405/01/31</t>
  </si>
  <si>
    <t>1405/02/01</t>
  </si>
  <si>
    <t>1405/02/02</t>
  </si>
  <si>
    <t>1405/02/03</t>
  </si>
  <si>
    <t>1405/02/04</t>
  </si>
  <si>
    <t>1405/02/05</t>
  </si>
  <si>
    <t>1405/02/06</t>
  </si>
  <si>
    <t>1405/02/07</t>
  </si>
  <si>
    <t>1405/02/08</t>
  </si>
  <si>
    <t>1405/02/09</t>
  </si>
  <si>
    <t>1405/02/10</t>
  </si>
  <si>
    <t>1405/02/11</t>
  </si>
  <si>
    <t>1405/02/12</t>
  </si>
  <si>
    <t>1405/02/13</t>
  </si>
  <si>
    <t>1405/02/14</t>
  </si>
  <si>
    <t>1405/02/15</t>
  </si>
  <si>
    <t>1405/02/16</t>
  </si>
  <si>
    <t>1405/02/17</t>
  </si>
  <si>
    <t>1405/02/18</t>
  </si>
  <si>
    <t>1405/02/19</t>
  </si>
  <si>
    <t>1405/02/20</t>
  </si>
  <si>
    <t>1405/02/21</t>
  </si>
  <si>
    <t>1405/02/22</t>
  </si>
  <si>
    <t>1405/02/23</t>
  </si>
  <si>
    <t>1405/02/24</t>
  </si>
  <si>
    <t>1405/02/25</t>
  </si>
  <si>
    <t>1405/02/26</t>
  </si>
  <si>
    <t>1405/02/27</t>
  </si>
  <si>
    <t>1405/02/28</t>
  </si>
  <si>
    <t>1405/02/29</t>
  </si>
  <si>
    <t>1405/02/30</t>
  </si>
  <si>
    <t>1405/02/31</t>
  </si>
  <si>
    <t>1405/03/01</t>
  </si>
  <si>
    <t>1405/03/02</t>
  </si>
  <si>
    <t>1405/03/03</t>
  </si>
  <si>
    <t>1405/03/04</t>
  </si>
  <si>
    <t>1405/03/05</t>
  </si>
  <si>
    <t>1405/03/06</t>
  </si>
  <si>
    <t>1405/03/07</t>
  </si>
  <si>
    <t>1405/03/08</t>
  </si>
  <si>
    <t>1405/03/09</t>
  </si>
  <si>
    <t>1405/03/10</t>
  </si>
  <si>
    <t>1405/03/11</t>
  </si>
  <si>
    <t>1405/03/12</t>
  </si>
  <si>
    <t>1405/03/13</t>
  </si>
  <si>
    <t>1405/03/14</t>
  </si>
  <si>
    <t>1405/03/15</t>
  </si>
  <si>
    <t>1405/03/16</t>
  </si>
  <si>
    <t>1405/03/17</t>
  </si>
  <si>
    <t>1405/03/18</t>
  </si>
  <si>
    <t>1405/03/19</t>
  </si>
  <si>
    <t>1405/03/20</t>
  </si>
  <si>
    <t>1405/03/21</t>
  </si>
  <si>
    <t>1405/03/22</t>
  </si>
  <si>
    <t>1405/03/23</t>
  </si>
  <si>
    <t>1405/03/24</t>
  </si>
  <si>
    <t>1405/03/25</t>
  </si>
  <si>
    <t>1405/03/26</t>
  </si>
  <si>
    <t>1405/03/27</t>
  </si>
  <si>
    <t>1405/03/28</t>
  </si>
  <si>
    <t>1405/03/29</t>
  </si>
  <si>
    <t>1405/03/30</t>
  </si>
  <si>
    <t>1405/03/31</t>
  </si>
  <si>
    <t>1405/04/01</t>
  </si>
  <si>
    <t>1405/04/02</t>
  </si>
  <si>
    <t>1405/04/03</t>
  </si>
  <si>
    <t>1405/04/04</t>
  </si>
  <si>
    <t>1405/04/05</t>
  </si>
  <si>
    <t>1405/04/06</t>
  </si>
  <si>
    <t>1405/04/07</t>
  </si>
  <si>
    <t>1405/04/08</t>
  </si>
  <si>
    <t>1405/04/09</t>
  </si>
  <si>
    <t>1405/04/10</t>
  </si>
  <si>
    <t>1405/04/11</t>
  </si>
  <si>
    <t>1405/04/12</t>
  </si>
  <si>
    <t>1405/04/13</t>
  </si>
  <si>
    <t>1405/04/14</t>
  </si>
  <si>
    <t>1405/04/15</t>
  </si>
  <si>
    <t>1405/04/16</t>
  </si>
  <si>
    <t>1405/04/17</t>
  </si>
  <si>
    <t>1405/04/18</t>
  </si>
  <si>
    <t>1405/04/19</t>
  </si>
  <si>
    <t>1405/04/20</t>
  </si>
  <si>
    <t>1405/04/21</t>
  </si>
  <si>
    <t>1405/04/22</t>
  </si>
  <si>
    <t>1405/04/23</t>
  </si>
  <si>
    <t>1405/04/24</t>
  </si>
  <si>
    <t>1405/04/25</t>
  </si>
  <si>
    <t>1405/04/26</t>
  </si>
  <si>
    <t>1405/04/27</t>
  </si>
  <si>
    <t>1405/04/28</t>
  </si>
  <si>
    <t>1405/04/29</t>
  </si>
  <si>
    <t>1405/04/30</t>
  </si>
  <si>
    <t>1405/04/31</t>
  </si>
  <si>
    <t>آشوری</t>
  </si>
  <si>
    <t>محمدی</t>
  </si>
  <si>
    <t>خوش خصلت</t>
  </si>
  <si>
    <t>موذنی</t>
  </si>
  <si>
    <t>هاشم زهی</t>
  </si>
  <si>
    <t>مجیدی</t>
  </si>
  <si>
    <t>زنگنه</t>
  </si>
  <si>
    <t>فیضی</t>
  </si>
  <si>
    <t>ثابت</t>
  </si>
  <si>
    <t>قاسمی</t>
  </si>
  <si>
    <t>دل بینا</t>
  </si>
  <si>
    <t>مظفری</t>
  </si>
  <si>
    <t>باغ خوانی</t>
  </si>
  <si>
    <t>قاسمی(بار)</t>
  </si>
  <si>
    <t>اسمائیلی</t>
  </si>
  <si>
    <t>خیرخواه</t>
  </si>
  <si>
    <t>فاضلی</t>
  </si>
  <si>
    <t>سجادپور</t>
  </si>
  <si>
    <t>غازی</t>
  </si>
  <si>
    <t>یعقوب نژاد</t>
  </si>
  <si>
    <t>شهاب احمدی</t>
  </si>
  <si>
    <t>حسین زاده</t>
  </si>
  <si>
    <t>فاضل</t>
  </si>
  <si>
    <t>Row</t>
  </si>
  <si>
    <t>Year</t>
  </si>
  <si>
    <t>Month</t>
  </si>
  <si>
    <t>Week</t>
  </si>
  <si>
    <t>Full name</t>
  </si>
  <si>
    <t>Clothing</t>
  </si>
  <si>
    <t>Haircut</t>
  </si>
  <si>
    <t>Shoes</t>
  </si>
  <si>
    <t>Trousers</t>
  </si>
  <si>
    <t>Encounter</t>
  </si>
  <si>
    <t>Performing duties</t>
  </si>
  <si>
    <t>Speed</t>
  </si>
  <si>
    <t>Performance</t>
  </si>
  <si>
    <t>Cost control</t>
  </si>
  <si>
    <t>Trainability</t>
  </si>
  <si>
    <t>Score</t>
  </si>
  <si>
    <t>Coverage</t>
  </si>
  <si>
    <t>Follow-up</t>
  </si>
  <si>
    <t>Accuracy in recording receipts</t>
  </si>
  <si>
    <t>Sales prowess</t>
  </si>
  <si>
    <t>accuracy</t>
  </si>
  <si>
    <t>Overall assessment</t>
  </si>
  <si>
    <t>Inter-sectoral coordination</t>
  </si>
  <si>
    <t>Submit statistics</t>
  </si>
  <si>
    <t>Skill</t>
  </si>
  <si>
    <t>Maintaining hygiene</t>
  </si>
  <si>
    <t>Occupational hygiene</t>
  </si>
  <si>
    <t>Compliance with regulations</t>
  </si>
  <si>
    <t>Following the recipe</t>
  </si>
  <si>
    <t>discipline</t>
  </si>
  <si>
    <t>انگلیسی</t>
  </si>
  <si>
    <t>فارسی</t>
  </si>
  <si>
    <t>ردیف</t>
  </si>
  <si>
    <t>Full Name</t>
  </si>
  <si>
    <t>نام و نام خانوادگی</t>
  </si>
  <si>
    <t>Discipline in entry and exit</t>
  </si>
  <si>
    <t>نظم ورود و خروج</t>
  </si>
  <si>
    <t>Fingerprint registration</t>
  </si>
  <si>
    <t>ثبت صحیح انگشتی</t>
  </si>
  <si>
    <t>ارزیابی کل</t>
  </si>
  <si>
    <t>لباس</t>
  </si>
  <si>
    <t>تمیزی سر وصورت</t>
  </si>
  <si>
    <t>کفش</t>
  </si>
  <si>
    <t>شلوار</t>
  </si>
  <si>
    <t>نوع برخورد</t>
  </si>
  <si>
    <t>انجام وظایف محوله</t>
  </si>
  <si>
    <t>سرعت</t>
  </si>
  <si>
    <t>عملکرد</t>
  </si>
  <si>
    <t>کنترل هزینه</t>
  </si>
  <si>
    <t>آموزش پذیری</t>
  </si>
  <si>
    <t>پوشش</t>
  </si>
  <si>
    <t>پیگیری سفارشات</t>
  </si>
  <si>
    <t>دقت در ثبت</t>
  </si>
  <si>
    <t>قدرت فروشندگی</t>
  </si>
  <si>
    <t>دقت</t>
  </si>
  <si>
    <t>هماهنگی بین بخش</t>
  </si>
  <si>
    <t>ارسال آمار</t>
  </si>
  <si>
    <t>مهارت</t>
  </si>
  <si>
    <t>رعایت بهداشت</t>
  </si>
  <si>
    <t>بهداشت حین کار</t>
  </si>
  <si>
    <t>رعایت قوانین</t>
  </si>
  <si>
    <t>رعایت رسپی</t>
  </si>
  <si>
    <t>نظم</t>
  </si>
  <si>
    <t>Violations</t>
  </si>
  <si>
    <t>تخلفات</t>
  </si>
  <si>
    <t>Response speed</t>
  </si>
  <si>
    <t>سرعت پاسخگویی</t>
  </si>
  <si>
    <t>Uniform</t>
  </si>
  <si>
    <t>لباس فرم</t>
  </si>
  <si>
    <t>Grazing</t>
  </si>
  <si>
    <t>ریزه خواری</t>
  </si>
  <si>
    <t>Fast cooking</t>
  </si>
  <si>
    <t>سرعت طبخ غذا</t>
  </si>
  <si>
    <t>Workplace cleanliness</t>
  </si>
  <si>
    <t>تمیزی محیط کار</t>
  </si>
  <si>
    <t>Punctual attendance</t>
  </si>
  <si>
    <t>حضور بموقع</t>
  </si>
  <si>
    <t>Active participation</t>
  </si>
  <si>
    <t>حضور فعال</t>
  </si>
  <si>
    <t>Health Card</t>
  </si>
  <si>
    <t>کارت بهداشت</t>
  </si>
  <si>
    <t>Health Certificate</t>
  </si>
  <si>
    <t>گواهینامه بهداشت</t>
  </si>
  <si>
    <t>Checklist</t>
  </si>
  <si>
    <t>چک لیست</t>
  </si>
  <si>
    <t>Storage Instructions for Materials</t>
  </si>
  <si>
    <t>نحوه نگهداری مواد</t>
  </si>
  <si>
    <t>Critical signs</t>
  </si>
  <si>
    <t>علائم بحرانی</t>
  </si>
  <si>
    <t>Date</t>
  </si>
  <si>
    <t>Direct definition</t>
  </si>
  <si>
    <t>تعریف مستقیم</t>
  </si>
  <si>
    <t>Venue Rating</t>
  </si>
  <si>
    <t>نمره سالن</t>
  </si>
  <si>
    <t>Timely registration</t>
  </si>
  <si>
    <t>ثبت بموقع فیش</t>
  </si>
  <si>
    <t>Delay</t>
  </si>
  <si>
    <t>تاخیر</t>
  </si>
  <si>
    <t>Snapp Rating</t>
  </si>
  <si>
    <t>امتیاز اسنپ</t>
  </si>
  <si>
    <t>Tapsi Rating</t>
  </si>
  <si>
    <t>امتیاز تپسی</t>
  </si>
  <si>
    <t>Snapp and Tapsi 1 and 2 ratings</t>
  </si>
  <si>
    <t>تعداد 1 و 2 اسنپ و تپسی</t>
  </si>
  <si>
    <t>Voice message review</t>
  </si>
  <si>
    <t>بررسی ویس</t>
  </si>
  <si>
    <t>Telephone-based scoring</t>
  </si>
  <si>
    <t>امتیاز تلفنی</t>
  </si>
  <si>
    <t>Sales volume of potatoes and mushrooms</t>
  </si>
  <si>
    <t>مقدار فروش سیب و قارچ</t>
  </si>
  <si>
    <t>Sales volume of mojito and lemonade</t>
  </si>
  <si>
    <t>مقدار فروش لیموناد و موهیتو</t>
  </si>
  <si>
    <t>Section</t>
  </si>
  <si>
    <t>Dissatisfaction with quality</t>
  </si>
  <si>
    <t>تعداد نارضایتی از کیفیت</t>
  </si>
  <si>
    <t>Kitchen Rating</t>
  </si>
  <si>
    <t>نمره آشپزخانه</t>
  </si>
  <si>
    <t>Dissatisfaction with the kitchen</t>
  </si>
  <si>
    <t>تعداد نارضایتی از آشپزخانه</t>
  </si>
  <si>
    <t>The coldness of the food</t>
  </si>
  <si>
    <t>سردی غذا</t>
  </si>
  <si>
    <t>Production Score</t>
  </si>
  <si>
    <t>نمره تولید</t>
  </si>
  <si>
    <t>responsible</t>
  </si>
  <si>
    <t>مسئول</t>
  </si>
  <si>
    <t>System</t>
  </si>
  <si>
    <t>سیستم</t>
  </si>
  <si>
    <t>Camera</t>
  </si>
  <si>
    <t>دوربین</t>
  </si>
  <si>
    <t>Human resources</t>
  </si>
  <si>
    <t>منابع انسانی</t>
  </si>
  <si>
    <t>Sales team</t>
  </si>
  <si>
    <t>تیم فروش</t>
  </si>
  <si>
    <t>hygiene</t>
  </si>
  <si>
    <t>بهداشت</t>
  </si>
  <si>
    <t>inspector</t>
  </si>
  <si>
    <t>بازرس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</si>
</sst>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Aptos Narrow"/>
      <family val="2"/>
      <scheme val="minor"/>
    </font>
    <font>
      <sz val="14"/>
      <color theme="1"/>
      <name val="B Nazanin"/>
      <charset val="178"/>
    </font>
    <font>
      <sz val="22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4"/>
      <color rgb="FF000000"/>
      <name val="Aptos Narrow"/>
      <family val="2"/>
    </font>
    <font>
      <sz val="14"/>
      <color theme="1"/>
      <name val="Aptos Narrow"/>
      <family val="2"/>
    </font>
    <font>
      <sz val="16"/>
      <color theme="1"/>
      <name val="Aptos Narrow"/>
      <family val="2"/>
    </font>
    <font>
      <sz val="16"/>
      <color rgb="FF000000"/>
      <name val="Aptos Narrow"/>
      <family val="2"/>
    </font>
    <font>
      <sz val="14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2" borderId="3" xfId="0" applyFill="1" applyBorder="1" applyAlignment="1">
      <alignment horizontal="center"/>
    </xf>
    <xf numFmtId="0" fontId="0" fillId="0" borderId="1" xfId="0" applyBorder="1" applyAlignment="1">
      <alignment horizontal="right" vertical="center"/>
    </xf>
    <xf numFmtId="0" fontId="0" fillId="0" borderId="3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ED859BC-DE90-477B-A588-1B58D4073D5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EDB6E-7915-4593-87C4-CD37D1002467}">
  <dimension ref="A1:B71"/>
  <sheetViews>
    <sheetView rightToLeft="1" workbookViewId="0">
      <selection activeCell="B6" sqref="B6"/>
    </sheetView>
  </sheetViews>
  <sheetFormatPr defaultRowHeight="15" x14ac:dyDescent="0.25"/>
  <cols>
    <col min="1" max="1" width="29.85546875" customWidth="1"/>
    <col min="2" max="2" width="47.7109375" customWidth="1"/>
  </cols>
  <sheetData>
    <row r="1" spans="1:2" ht="27.75" thickBot="1" x14ac:dyDescent="0.3">
      <c r="A1" s="13" t="s">
        <v>513</v>
      </c>
      <c r="B1" s="14" t="s">
        <v>514</v>
      </c>
    </row>
    <row r="2" spans="1:2" ht="15.75" thickBot="1" x14ac:dyDescent="0.3">
      <c r="A2" s="15" t="s">
        <v>483</v>
      </c>
      <c r="B2" s="16" t="s">
        <v>515</v>
      </c>
    </row>
    <row r="3" spans="1:2" ht="19.5" thickBot="1" x14ac:dyDescent="0.3">
      <c r="A3" s="17" t="s">
        <v>484</v>
      </c>
      <c r="B3" s="16" t="s">
        <v>0</v>
      </c>
    </row>
    <row r="4" spans="1:2" ht="19.5" thickBot="1" x14ac:dyDescent="0.3">
      <c r="A4" s="17" t="s">
        <v>485</v>
      </c>
      <c r="B4" s="16" t="s">
        <v>1</v>
      </c>
    </row>
    <row r="5" spans="1:2" ht="19.5" thickBot="1" x14ac:dyDescent="0.3">
      <c r="A5" s="17" t="s">
        <v>486</v>
      </c>
      <c r="B5" s="16" t="s">
        <v>2</v>
      </c>
    </row>
    <row r="6" spans="1:2" ht="19.5" thickBot="1" x14ac:dyDescent="0.3">
      <c r="A6" s="17" t="s">
        <v>516</v>
      </c>
      <c r="B6" s="16" t="s">
        <v>517</v>
      </c>
    </row>
    <row r="7" spans="1:2" ht="38.25" thickBot="1" x14ac:dyDescent="0.3">
      <c r="A7" s="17" t="s">
        <v>518</v>
      </c>
      <c r="B7" s="16" t="s">
        <v>519</v>
      </c>
    </row>
    <row r="8" spans="1:2" ht="19.5" thickBot="1" x14ac:dyDescent="0.3">
      <c r="A8" s="17" t="s">
        <v>520</v>
      </c>
      <c r="B8" s="16" t="s">
        <v>521</v>
      </c>
    </row>
    <row r="9" spans="1:2" ht="19.5" thickBot="1" x14ac:dyDescent="0.3">
      <c r="A9" s="17" t="s">
        <v>504</v>
      </c>
      <c r="B9" s="16" t="s">
        <v>522</v>
      </c>
    </row>
    <row r="10" spans="1:2" ht="19.5" thickBot="1" x14ac:dyDescent="0.3">
      <c r="A10" s="17" t="s">
        <v>498</v>
      </c>
      <c r="B10" s="16" t="s">
        <v>3</v>
      </c>
    </row>
    <row r="11" spans="1:2" ht="19.5" thickBot="1" x14ac:dyDescent="0.3">
      <c r="A11" s="17" t="s">
        <v>488</v>
      </c>
      <c r="B11" s="16" t="s">
        <v>523</v>
      </c>
    </row>
    <row r="12" spans="1:2" ht="19.5" thickBot="1" x14ac:dyDescent="0.3">
      <c r="A12" s="17" t="s">
        <v>489</v>
      </c>
      <c r="B12" s="16" t="s">
        <v>524</v>
      </c>
    </row>
    <row r="13" spans="1:2" ht="19.5" thickBot="1" x14ac:dyDescent="0.3">
      <c r="A13" s="17" t="s">
        <v>490</v>
      </c>
      <c r="B13" s="16" t="s">
        <v>525</v>
      </c>
    </row>
    <row r="14" spans="1:2" ht="19.5" thickBot="1" x14ac:dyDescent="0.3">
      <c r="A14" s="17" t="s">
        <v>491</v>
      </c>
      <c r="B14" s="16" t="s">
        <v>526</v>
      </c>
    </row>
    <row r="15" spans="1:2" ht="19.5" thickBot="1" x14ac:dyDescent="0.3">
      <c r="A15" s="17" t="s">
        <v>492</v>
      </c>
      <c r="B15" s="16" t="s">
        <v>527</v>
      </c>
    </row>
    <row r="16" spans="1:2" ht="19.5" thickBot="1" x14ac:dyDescent="0.3">
      <c r="A16" s="17" t="s">
        <v>493</v>
      </c>
      <c r="B16" s="16" t="s">
        <v>528</v>
      </c>
    </row>
    <row r="17" spans="1:2" ht="19.5" thickBot="1" x14ac:dyDescent="0.3">
      <c r="A17" s="17" t="s">
        <v>494</v>
      </c>
      <c r="B17" s="16" t="s">
        <v>529</v>
      </c>
    </row>
    <row r="18" spans="1:2" ht="19.5" thickBot="1" x14ac:dyDescent="0.3">
      <c r="A18" s="17" t="s">
        <v>495</v>
      </c>
      <c r="B18" s="16" t="s">
        <v>530</v>
      </c>
    </row>
    <row r="19" spans="1:2" ht="19.5" thickBot="1" x14ac:dyDescent="0.3">
      <c r="A19" s="17" t="s">
        <v>496</v>
      </c>
      <c r="B19" s="16" t="s">
        <v>531</v>
      </c>
    </row>
    <row r="20" spans="1:2" ht="19.5" thickBot="1" x14ac:dyDescent="0.3">
      <c r="A20" s="17" t="s">
        <v>497</v>
      </c>
      <c r="B20" s="16" t="s">
        <v>532</v>
      </c>
    </row>
    <row r="21" spans="1:2" ht="19.5" thickBot="1" x14ac:dyDescent="0.3">
      <c r="A21" s="17" t="s">
        <v>499</v>
      </c>
      <c r="B21" s="16" t="s">
        <v>533</v>
      </c>
    </row>
    <row r="22" spans="1:2" ht="19.5" thickBot="1" x14ac:dyDescent="0.3">
      <c r="A22" s="17" t="s">
        <v>500</v>
      </c>
      <c r="B22" s="16" t="s">
        <v>534</v>
      </c>
    </row>
    <row r="23" spans="1:2" ht="38.25" thickBot="1" x14ac:dyDescent="0.3">
      <c r="A23" s="17" t="s">
        <v>501</v>
      </c>
      <c r="B23" s="16" t="s">
        <v>535</v>
      </c>
    </row>
    <row r="24" spans="1:2" ht="19.5" thickBot="1" x14ac:dyDescent="0.3">
      <c r="A24" s="17" t="s">
        <v>502</v>
      </c>
      <c r="B24" s="16" t="s">
        <v>536</v>
      </c>
    </row>
    <row r="25" spans="1:2" ht="19.5" thickBot="1" x14ac:dyDescent="0.3">
      <c r="A25" s="17" t="s">
        <v>503</v>
      </c>
      <c r="B25" s="16" t="s">
        <v>537</v>
      </c>
    </row>
    <row r="26" spans="1:2" ht="38.25" thickBot="1" x14ac:dyDescent="0.3">
      <c r="A26" s="17" t="s">
        <v>505</v>
      </c>
      <c r="B26" s="16" t="s">
        <v>538</v>
      </c>
    </row>
    <row r="27" spans="1:2" ht="19.5" thickBot="1" x14ac:dyDescent="0.3">
      <c r="A27" s="17" t="s">
        <v>506</v>
      </c>
      <c r="B27" s="16" t="s">
        <v>539</v>
      </c>
    </row>
    <row r="28" spans="1:2" ht="19.5" thickBot="1" x14ac:dyDescent="0.3">
      <c r="A28" s="17" t="s">
        <v>507</v>
      </c>
      <c r="B28" s="16" t="s">
        <v>540</v>
      </c>
    </row>
    <row r="29" spans="1:2" ht="19.5" thickBot="1" x14ac:dyDescent="0.3">
      <c r="A29" s="17" t="s">
        <v>508</v>
      </c>
      <c r="B29" s="16" t="s">
        <v>541</v>
      </c>
    </row>
    <row r="30" spans="1:2" ht="19.5" thickBot="1" x14ac:dyDescent="0.3">
      <c r="A30" s="17" t="s">
        <v>509</v>
      </c>
      <c r="B30" s="16" t="s">
        <v>542</v>
      </c>
    </row>
    <row r="31" spans="1:2" ht="38.25" thickBot="1" x14ac:dyDescent="0.3">
      <c r="A31" s="17" t="s">
        <v>510</v>
      </c>
      <c r="B31" s="16" t="s">
        <v>543</v>
      </c>
    </row>
    <row r="32" spans="1:2" ht="19.5" thickBot="1" x14ac:dyDescent="0.3">
      <c r="A32" s="17" t="s">
        <v>511</v>
      </c>
      <c r="B32" s="16" t="s">
        <v>544</v>
      </c>
    </row>
    <row r="33" spans="1:2" ht="19.5" thickBot="1" x14ac:dyDescent="0.3">
      <c r="A33" s="17" t="s">
        <v>512</v>
      </c>
      <c r="B33" s="16" t="s">
        <v>545</v>
      </c>
    </row>
    <row r="34" spans="1:2" ht="19.5" thickBot="1" x14ac:dyDescent="0.3">
      <c r="A34" s="17" t="s">
        <v>546</v>
      </c>
      <c r="B34" s="16" t="s">
        <v>547</v>
      </c>
    </row>
    <row r="35" spans="1:2" ht="19.5" thickBot="1" x14ac:dyDescent="0.3">
      <c r="A35" s="17" t="s">
        <v>548</v>
      </c>
      <c r="B35" s="16" t="s">
        <v>549</v>
      </c>
    </row>
    <row r="36" spans="1:2" ht="19.5" thickBot="1" x14ac:dyDescent="0.3">
      <c r="A36" s="17" t="s">
        <v>550</v>
      </c>
      <c r="B36" s="16" t="s">
        <v>551</v>
      </c>
    </row>
    <row r="37" spans="1:2" ht="19.5" thickBot="1" x14ac:dyDescent="0.3">
      <c r="A37" s="17" t="s">
        <v>552</v>
      </c>
      <c r="B37" s="16" t="s">
        <v>553</v>
      </c>
    </row>
    <row r="38" spans="1:2" ht="19.5" thickBot="1" x14ac:dyDescent="0.3">
      <c r="A38" s="17" t="s">
        <v>554</v>
      </c>
      <c r="B38" s="16" t="s">
        <v>555</v>
      </c>
    </row>
    <row r="39" spans="1:2" ht="19.5" thickBot="1" x14ac:dyDescent="0.3">
      <c r="A39" s="17" t="s">
        <v>556</v>
      </c>
      <c r="B39" s="16" t="s">
        <v>557</v>
      </c>
    </row>
    <row r="40" spans="1:2" ht="19.5" thickBot="1" x14ac:dyDescent="0.3">
      <c r="A40" s="17" t="s">
        <v>558</v>
      </c>
      <c r="B40" s="16" t="s">
        <v>559</v>
      </c>
    </row>
    <row r="41" spans="1:2" ht="19.5" thickBot="1" x14ac:dyDescent="0.3">
      <c r="A41" s="17" t="s">
        <v>560</v>
      </c>
      <c r="B41" s="16" t="s">
        <v>561</v>
      </c>
    </row>
    <row r="42" spans="1:2" ht="19.5" thickBot="1" x14ac:dyDescent="0.3">
      <c r="A42" s="17" t="s">
        <v>562</v>
      </c>
      <c r="B42" s="16" t="s">
        <v>563</v>
      </c>
    </row>
    <row r="43" spans="1:2" ht="19.5" thickBot="1" x14ac:dyDescent="0.3">
      <c r="A43" s="17" t="s">
        <v>564</v>
      </c>
      <c r="B43" s="16" t="s">
        <v>565</v>
      </c>
    </row>
    <row r="44" spans="1:2" ht="19.5" thickBot="1" x14ac:dyDescent="0.3">
      <c r="A44" s="17" t="s">
        <v>566</v>
      </c>
      <c r="B44" s="16" t="s">
        <v>567</v>
      </c>
    </row>
    <row r="45" spans="1:2" ht="38.25" thickBot="1" x14ac:dyDescent="0.3">
      <c r="A45" s="17" t="s">
        <v>568</v>
      </c>
      <c r="B45" s="16" t="s">
        <v>569</v>
      </c>
    </row>
    <row r="46" spans="1:2" ht="19.5" thickBot="1" x14ac:dyDescent="0.3">
      <c r="A46" s="17" t="s">
        <v>570</v>
      </c>
      <c r="B46" s="16" t="s">
        <v>571</v>
      </c>
    </row>
    <row r="47" spans="1:2" ht="19.5" thickBot="1" x14ac:dyDescent="0.3">
      <c r="A47" s="18" t="s">
        <v>572</v>
      </c>
      <c r="B47" s="16" t="s">
        <v>4</v>
      </c>
    </row>
    <row r="48" spans="1:2" ht="19.5" thickBot="1" x14ac:dyDescent="0.3">
      <c r="A48" s="18" t="s">
        <v>573</v>
      </c>
      <c r="B48" s="16" t="s">
        <v>574</v>
      </c>
    </row>
    <row r="49" spans="1:2" ht="19.5" thickBot="1" x14ac:dyDescent="0.3">
      <c r="A49" s="18" t="s">
        <v>575</v>
      </c>
      <c r="B49" s="16" t="s">
        <v>576</v>
      </c>
    </row>
    <row r="50" spans="1:2" ht="19.5" thickBot="1" x14ac:dyDescent="0.3">
      <c r="A50" s="18" t="s">
        <v>577</v>
      </c>
      <c r="B50" s="16" t="s">
        <v>578</v>
      </c>
    </row>
    <row r="51" spans="1:2" ht="21.75" thickBot="1" x14ac:dyDescent="0.3">
      <c r="A51" s="19" t="s">
        <v>579</v>
      </c>
      <c r="B51" s="16" t="s">
        <v>580</v>
      </c>
    </row>
    <row r="52" spans="1:2" ht="19.5" thickBot="1" x14ac:dyDescent="0.3">
      <c r="A52" s="18" t="s">
        <v>581</v>
      </c>
      <c r="B52" s="16" t="s">
        <v>582</v>
      </c>
    </row>
    <row r="53" spans="1:2" ht="21.75" thickBot="1" x14ac:dyDescent="0.3">
      <c r="A53" s="19" t="s">
        <v>583</v>
      </c>
      <c r="B53" s="16" t="s">
        <v>584</v>
      </c>
    </row>
    <row r="54" spans="1:2" ht="42.75" thickBot="1" x14ac:dyDescent="0.3">
      <c r="A54" s="19" t="s">
        <v>585</v>
      </c>
      <c r="B54" s="16" t="s">
        <v>586</v>
      </c>
    </row>
    <row r="55" spans="1:2" ht="21.75" thickBot="1" x14ac:dyDescent="0.3">
      <c r="A55" s="19" t="s">
        <v>587</v>
      </c>
      <c r="B55" s="16" t="s">
        <v>588</v>
      </c>
    </row>
    <row r="56" spans="1:2" ht="42.75" thickBot="1" x14ac:dyDescent="0.3">
      <c r="A56" s="19" t="s">
        <v>589</v>
      </c>
      <c r="B56" s="16" t="s">
        <v>590</v>
      </c>
    </row>
    <row r="57" spans="1:2" ht="63.75" thickBot="1" x14ac:dyDescent="0.3">
      <c r="A57" s="19" t="s">
        <v>591</v>
      </c>
      <c r="B57" s="16" t="s">
        <v>592</v>
      </c>
    </row>
    <row r="58" spans="1:2" ht="42.75" thickBot="1" x14ac:dyDescent="0.3">
      <c r="A58" s="19" t="s">
        <v>593</v>
      </c>
      <c r="B58" s="16" t="s">
        <v>594</v>
      </c>
    </row>
    <row r="59" spans="1:2" ht="21.75" thickBot="1" x14ac:dyDescent="0.3">
      <c r="A59" s="20" t="s">
        <v>595</v>
      </c>
      <c r="B59" s="16" t="s">
        <v>11</v>
      </c>
    </row>
    <row r="60" spans="1:2" ht="42.75" thickBot="1" x14ac:dyDescent="0.3">
      <c r="A60" s="20" t="s">
        <v>596</v>
      </c>
      <c r="B60" s="16" t="s">
        <v>597</v>
      </c>
    </row>
    <row r="61" spans="1:2" ht="21.75" thickBot="1" x14ac:dyDescent="0.3">
      <c r="A61" s="20" t="s">
        <v>598</v>
      </c>
      <c r="B61" s="16" t="s">
        <v>599</v>
      </c>
    </row>
    <row r="62" spans="1:2" ht="38.25" thickBot="1" x14ac:dyDescent="0.3">
      <c r="A62" s="17" t="s">
        <v>600</v>
      </c>
      <c r="B62" s="16" t="s">
        <v>601</v>
      </c>
    </row>
    <row r="63" spans="1:2" ht="19.5" thickBot="1" x14ac:dyDescent="0.3">
      <c r="A63" s="17" t="s">
        <v>602</v>
      </c>
      <c r="B63" s="16" t="s">
        <v>603</v>
      </c>
    </row>
    <row r="64" spans="1:2" ht="21.75" thickBot="1" x14ac:dyDescent="0.3">
      <c r="A64" s="19" t="s">
        <v>604</v>
      </c>
      <c r="B64" s="16" t="s">
        <v>605</v>
      </c>
    </row>
    <row r="65" spans="1:2" ht="19.5" thickBot="1" x14ac:dyDescent="0.3">
      <c r="A65" s="17" t="s">
        <v>606</v>
      </c>
      <c r="B65" s="16" t="s">
        <v>607</v>
      </c>
    </row>
    <row r="66" spans="1:2" ht="19.5" thickBot="1" x14ac:dyDescent="0.3">
      <c r="A66" s="21" t="s">
        <v>608</v>
      </c>
      <c r="B66" s="16" t="s">
        <v>609</v>
      </c>
    </row>
    <row r="67" spans="1:2" ht="15.75" thickBot="1" x14ac:dyDescent="0.3">
      <c r="A67" s="15" t="s">
        <v>610</v>
      </c>
      <c r="B67" s="16" t="s">
        <v>611</v>
      </c>
    </row>
    <row r="68" spans="1:2" ht="19.5" thickBot="1" x14ac:dyDescent="0.3">
      <c r="A68" s="17" t="s">
        <v>612</v>
      </c>
      <c r="B68" s="16" t="s">
        <v>613</v>
      </c>
    </row>
    <row r="69" spans="1:2" ht="19.5" thickBot="1" x14ac:dyDescent="0.3">
      <c r="A69" s="17" t="s">
        <v>614</v>
      </c>
      <c r="B69" s="16" t="s">
        <v>615</v>
      </c>
    </row>
    <row r="70" spans="1:2" ht="19.5" thickBot="1" x14ac:dyDescent="0.3">
      <c r="A70" s="17" t="s">
        <v>616</v>
      </c>
      <c r="B70" s="16" t="s">
        <v>617</v>
      </c>
    </row>
    <row r="71" spans="1:2" ht="19.5" thickBot="1" x14ac:dyDescent="0.3">
      <c r="A71" s="17" t="s">
        <v>618</v>
      </c>
      <c r="B71" s="16" t="s">
        <v>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0E91A-A32C-4046-A3AC-04110564942E}">
  <dimension ref="A1:AR391"/>
  <sheetViews>
    <sheetView showGridLines="0" rightToLeft="1" topLeftCell="F1" zoomScaleNormal="100" workbookViewId="0">
      <selection activeCell="J3" sqref="J3"/>
    </sheetView>
  </sheetViews>
  <sheetFormatPr defaultRowHeight="15" x14ac:dyDescent="0.25"/>
  <cols>
    <col min="1" max="1" width="16" style="6" customWidth="1"/>
    <col min="2" max="8" width="9.140625" style="6"/>
    <col min="9" max="9" width="9.140625" style="6" customWidth="1"/>
    <col min="10" max="10" width="14" style="6" bestFit="1" customWidth="1"/>
    <col min="11" max="11" width="9.140625" style="6"/>
    <col min="12" max="12" width="15.7109375" style="6" bestFit="1" customWidth="1"/>
    <col min="13" max="13" width="9.140625" style="6"/>
    <col min="14" max="14" width="16.140625" style="6" bestFit="1" customWidth="1"/>
    <col min="15" max="15" width="9.140625" style="6"/>
    <col min="16" max="16" width="17" style="6" bestFit="1" customWidth="1"/>
    <col min="17" max="17" width="17" style="6" customWidth="1"/>
    <col min="18" max="18" width="13.42578125" style="6" bestFit="1" customWidth="1"/>
    <col min="19" max="19" width="13.42578125" style="6" customWidth="1"/>
    <col min="20" max="20" width="14.28515625" style="6" bestFit="1" customWidth="1"/>
    <col min="21" max="21" width="9.140625" style="6"/>
    <col min="22" max="22" width="15" style="6" bestFit="1" customWidth="1"/>
    <col min="23" max="23" width="9.140625" style="6"/>
    <col min="24" max="24" width="14" style="6" bestFit="1" customWidth="1"/>
    <col min="25" max="25" width="9.140625" style="6"/>
    <col min="26" max="26" width="14.7109375" style="6" bestFit="1" customWidth="1"/>
    <col min="27" max="27" width="9.140625" style="6"/>
    <col min="28" max="28" width="8.42578125" style="6" bestFit="1" customWidth="1"/>
    <col min="29" max="29" width="11" style="6" bestFit="1" customWidth="1"/>
    <col min="30" max="39" width="9.140625" style="7"/>
  </cols>
  <sheetData>
    <row r="1" spans="1:44" x14ac:dyDescent="0.25">
      <c r="A1" s="5" t="s">
        <v>4</v>
      </c>
      <c r="C1" s="5" t="s">
        <v>0</v>
      </c>
      <c r="D1" s="5" t="s">
        <v>2</v>
      </c>
      <c r="E1" s="5" t="s">
        <v>5</v>
      </c>
      <c r="F1" s="5" t="s">
        <v>1</v>
      </c>
      <c r="H1" s="5" t="s">
        <v>6</v>
      </c>
      <c r="J1" s="5" t="s">
        <v>7</v>
      </c>
      <c r="L1" s="5" t="s">
        <v>8</v>
      </c>
      <c r="N1" s="5" t="s">
        <v>9</v>
      </c>
      <c r="P1" s="5" t="s">
        <v>10</v>
      </c>
      <c r="R1" s="5" t="s">
        <v>11</v>
      </c>
      <c r="T1" s="5" t="s">
        <v>12</v>
      </c>
      <c r="V1" s="5" t="s">
        <v>13</v>
      </c>
      <c r="X1" s="5" t="s">
        <v>14</v>
      </c>
      <c r="Z1" s="5" t="s">
        <v>15</v>
      </c>
      <c r="AB1" s="5" t="s">
        <v>16</v>
      </c>
      <c r="AC1" s="5" t="s">
        <v>17</v>
      </c>
      <c r="AE1" s="8" t="s">
        <v>3</v>
      </c>
      <c r="AG1" s="5" t="s">
        <v>18</v>
      </c>
      <c r="AI1" s="5" t="s">
        <v>18</v>
      </c>
      <c r="AK1" s="5" t="s">
        <v>3</v>
      </c>
      <c r="AM1" s="5" t="s">
        <v>19</v>
      </c>
      <c r="AN1" s="7"/>
      <c r="AO1" s="7"/>
      <c r="AP1" s="7"/>
      <c r="AQ1" s="7"/>
      <c r="AR1" s="7"/>
    </row>
    <row r="2" spans="1:44" x14ac:dyDescent="0.25">
      <c r="A2" s="9" t="s">
        <v>20</v>
      </c>
      <c r="C2" s="2">
        <v>1404</v>
      </c>
      <c r="D2" s="2">
        <v>1</v>
      </c>
      <c r="E2" s="2">
        <v>1</v>
      </c>
      <c r="F2" s="2" t="s">
        <v>21</v>
      </c>
      <c r="H2" s="2" t="s">
        <v>22</v>
      </c>
      <c r="J2" s="2" t="s">
        <v>469</v>
      </c>
      <c r="L2" s="2" t="s">
        <v>23</v>
      </c>
      <c r="N2" s="2" t="s">
        <v>24</v>
      </c>
      <c r="P2" s="2" t="s">
        <v>460</v>
      </c>
      <c r="R2" s="2" t="s">
        <v>26</v>
      </c>
      <c r="T2" s="2" t="s">
        <v>25</v>
      </c>
      <c r="V2" s="2" t="s">
        <v>27</v>
      </c>
      <c r="X2" s="2" t="s">
        <v>23</v>
      </c>
      <c r="Z2" s="2" t="s">
        <v>28</v>
      </c>
      <c r="AB2" s="2">
        <v>0</v>
      </c>
      <c r="AC2" s="2">
        <v>0</v>
      </c>
      <c r="AE2" s="10">
        <v>1</v>
      </c>
      <c r="AG2" s="2" t="s">
        <v>29</v>
      </c>
      <c r="AI2" s="2" t="s">
        <v>30</v>
      </c>
      <c r="AK2" s="2">
        <v>0</v>
      </c>
      <c r="AM2" s="11">
        <v>0</v>
      </c>
      <c r="AN2" s="7"/>
      <c r="AO2" s="7"/>
      <c r="AP2" s="7"/>
      <c r="AQ2" s="7"/>
      <c r="AR2" s="7"/>
    </row>
    <row r="3" spans="1:44" x14ac:dyDescent="0.25">
      <c r="A3" s="9" t="s">
        <v>31</v>
      </c>
      <c r="C3" s="2">
        <v>1405</v>
      </c>
      <c r="D3" s="2">
        <v>2</v>
      </c>
      <c r="E3" s="2">
        <v>2</v>
      </c>
      <c r="F3" s="2" t="s">
        <v>32</v>
      </c>
      <c r="H3" s="2" t="s">
        <v>33</v>
      </c>
      <c r="J3" s="11" t="s">
        <v>466</v>
      </c>
      <c r="L3" s="2" t="s">
        <v>56</v>
      </c>
      <c r="N3" s="2" t="s">
        <v>478</v>
      </c>
      <c r="P3" s="2" t="s">
        <v>461</v>
      </c>
      <c r="R3" s="2" t="s">
        <v>34</v>
      </c>
      <c r="T3" s="2" t="s">
        <v>466</v>
      </c>
      <c r="V3" s="2" t="s">
        <v>35</v>
      </c>
      <c r="X3" s="2" t="s">
        <v>469</v>
      </c>
      <c r="Z3" s="2" t="s">
        <v>26</v>
      </c>
      <c r="AB3" s="2">
        <v>10000</v>
      </c>
      <c r="AC3" s="2">
        <v>1</v>
      </c>
      <c r="AE3" s="10">
        <v>2</v>
      </c>
      <c r="AG3" s="2" t="s">
        <v>36</v>
      </c>
      <c r="AI3" s="2" t="s">
        <v>37</v>
      </c>
      <c r="AK3" s="2">
        <v>0.15</v>
      </c>
      <c r="AM3" s="11">
        <v>1</v>
      </c>
      <c r="AN3" s="7"/>
      <c r="AO3" s="7"/>
      <c r="AP3" s="7"/>
      <c r="AQ3" s="7"/>
      <c r="AR3" s="7"/>
    </row>
    <row r="4" spans="1:44" x14ac:dyDescent="0.25">
      <c r="A4" s="9" t="s">
        <v>38</v>
      </c>
      <c r="C4" s="2">
        <v>1406</v>
      </c>
      <c r="D4" s="2">
        <v>3</v>
      </c>
      <c r="E4" s="2">
        <v>3</v>
      </c>
      <c r="F4" s="2" t="s">
        <v>39</v>
      </c>
      <c r="H4" s="2" t="s">
        <v>40</v>
      </c>
      <c r="J4" s="2" t="s">
        <v>81</v>
      </c>
      <c r="L4" s="2" t="s">
        <v>471</v>
      </c>
      <c r="N4" s="2" t="s">
        <v>470</v>
      </c>
      <c r="P4" s="2" t="s">
        <v>462</v>
      </c>
      <c r="R4" s="2" t="s">
        <v>42</v>
      </c>
      <c r="T4" s="2" t="s">
        <v>467</v>
      </c>
      <c r="X4" s="2" t="s">
        <v>49</v>
      </c>
      <c r="Z4" s="2" t="s">
        <v>42</v>
      </c>
      <c r="AB4" s="2">
        <v>20000</v>
      </c>
      <c r="AC4" s="2">
        <v>1</v>
      </c>
      <c r="AE4" s="10">
        <v>3</v>
      </c>
      <c r="AK4" s="2">
        <v>0.25</v>
      </c>
      <c r="AN4" s="7"/>
      <c r="AO4" s="7"/>
      <c r="AP4" s="7"/>
      <c r="AQ4" s="7"/>
      <c r="AR4" s="7"/>
    </row>
    <row r="5" spans="1:44" x14ac:dyDescent="0.25">
      <c r="A5" s="9" t="s">
        <v>43</v>
      </c>
      <c r="C5" s="2">
        <v>1407</v>
      </c>
      <c r="D5" s="2">
        <v>4</v>
      </c>
      <c r="E5" s="2">
        <v>4</v>
      </c>
      <c r="F5" s="2" t="s">
        <v>44</v>
      </c>
      <c r="H5" s="2" t="s">
        <v>45</v>
      </c>
      <c r="J5" s="2" t="s">
        <v>474</v>
      </c>
      <c r="L5" s="2" t="s">
        <v>472</v>
      </c>
      <c r="N5" s="2" t="s">
        <v>467</v>
      </c>
      <c r="P5" s="2" t="s">
        <v>463</v>
      </c>
      <c r="R5" s="2" t="s">
        <v>48</v>
      </c>
      <c r="T5" s="2" t="s">
        <v>468</v>
      </c>
      <c r="X5" s="2" t="s">
        <v>68</v>
      </c>
      <c r="AB5" s="2">
        <v>30000</v>
      </c>
      <c r="AC5" s="2">
        <v>1</v>
      </c>
      <c r="AE5" s="10">
        <v>4</v>
      </c>
      <c r="AN5" s="7"/>
      <c r="AO5" s="7"/>
      <c r="AP5" s="7"/>
      <c r="AQ5" s="7"/>
      <c r="AR5" s="7"/>
    </row>
    <row r="6" spans="1:44" x14ac:dyDescent="0.25">
      <c r="A6" s="9" t="s">
        <v>50</v>
      </c>
      <c r="D6" s="2">
        <v>5</v>
      </c>
      <c r="E6" s="2">
        <v>5</v>
      </c>
      <c r="F6" s="2" t="s">
        <v>51</v>
      </c>
      <c r="H6" s="2" t="s">
        <v>48</v>
      </c>
      <c r="J6" s="2" t="s">
        <v>475</v>
      </c>
      <c r="P6" s="2" t="s">
        <v>47</v>
      </c>
      <c r="R6" s="2" t="s">
        <v>52</v>
      </c>
      <c r="X6" s="2" t="s">
        <v>41</v>
      </c>
      <c r="AB6" s="2">
        <v>40000</v>
      </c>
      <c r="AC6" s="2">
        <v>1</v>
      </c>
      <c r="AE6" s="10">
        <v>5</v>
      </c>
      <c r="AN6" s="7"/>
      <c r="AO6" s="7"/>
      <c r="AP6" s="7"/>
      <c r="AQ6" s="7"/>
      <c r="AR6" s="7"/>
    </row>
    <row r="7" spans="1:44" x14ac:dyDescent="0.25">
      <c r="A7" s="9" t="s">
        <v>53</v>
      </c>
      <c r="E7" s="2">
        <v>6</v>
      </c>
      <c r="F7" s="2" t="s">
        <v>54</v>
      </c>
      <c r="H7" s="2" t="s">
        <v>28</v>
      </c>
      <c r="J7" s="2" t="s">
        <v>55</v>
      </c>
      <c r="P7" s="2" t="s">
        <v>464</v>
      </c>
      <c r="R7" s="2" t="s">
        <v>57</v>
      </c>
      <c r="X7" s="2" t="s">
        <v>76</v>
      </c>
      <c r="AB7" s="2">
        <v>50000</v>
      </c>
      <c r="AC7" s="2">
        <v>1</v>
      </c>
      <c r="AN7" s="7"/>
      <c r="AO7" s="7"/>
      <c r="AP7" s="7"/>
      <c r="AQ7" s="7"/>
      <c r="AR7" s="7"/>
    </row>
    <row r="8" spans="1:44" x14ac:dyDescent="0.25">
      <c r="A8" s="9" t="s">
        <v>58</v>
      </c>
      <c r="E8" s="2">
        <v>7</v>
      </c>
      <c r="F8" s="2" t="s">
        <v>59</v>
      </c>
      <c r="H8" s="2" t="s">
        <v>26</v>
      </c>
      <c r="J8" s="2" t="s">
        <v>476</v>
      </c>
      <c r="P8" s="2" t="s">
        <v>46</v>
      </c>
      <c r="R8" s="2" t="s">
        <v>60</v>
      </c>
      <c r="X8" s="2" t="s">
        <v>481</v>
      </c>
      <c r="AB8" s="2">
        <v>60000</v>
      </c>
      <c r="AC8" s="2">
        <v>2</v>
      </c>
      <c r="AN8" s="7"/>
      <c r="AO8" s="7"/>
      <c r="AP8" s="7"/>
      <c r="AQ8" s="7"/>
      <c r="AR8" s="7"/>
    </row>
    <row r="9" spans="1:44" x14ac:dyDescent="0.25">
      <c r="A9" s="9" t="s">
        <v>61</v>
      </c>
      <c r="E9" s="2">
        <v>8</v>
      </c>
      <c r="F9" s="2" t="s">
        <v>62</v>
      </c>
      <c r="H9" s="2" t="s">
        <v>42</v>
      </c>
      <c r="J9" s="2" t="s">
        <v>477</v>
      </c>
      <c r="P9" s="2" t="s">
        <v>465</v>
      </c>
      <c r="R9" s="2" t="s">
        <v>63</v>
      </c>
      <c r="AB9" s="2">
        <v>70000</v>
      </c>
      <c r="AC9" s="2">
        <v>7</v>
      </c>
      <c r="AN9" s="7"/>
      <c r="AO9" s="7"/>
      <c r="AP9" s="7"/>
      <c r="AQ9" s="7"/>
      <c r="AR9" s="7"/>
    </row>
    <row r="10" spans="1:44" x14ac:dyDescent="0.25">
      <c r="A10" s="9" t="s">
        <v>64</v>
      </c>
      <c r="E10" s="2">
        <v>9</v>
      </c>
      <c r="F10" s="2" t="s">
        <v>65</v>
      </c>
      <c r="H10" s="2" t="s">
        <v>66</v>
      </c>
      <c r="J10" s="2" t="s">
        <v>84</v>
      </c>
      <c r="P10" s="2" t="s">
        <v>41</v>
      </c>
      <c r="R10" s="2" t="s">
        <v>67</v>
      </c>
      <c r="AB10" s="2">
        <v>80000</v>
      </c>
      <c r="AC10" s="2">
        <v>7</v>
      </c>
      <c r="AN10" s="7"/>
      <c r="AO10" s="7"/>
      <c r="AP10" s="7"/>
      <c r="AQ10" s="7"/>
      <c r="AR10" s="7"/>
    </row>
    <row r="11" spans="1:44" x14ac:dyDescent="0.25">
      <c r="A11" s="9" t="s">
        <v>69</v>
      </c>
      <c r="E11" s="2">
        <v>10</v>
      </c>
      <c r="F11" s="2" t="s">
        <v>70</v>
      </c>
      <c r="H11" s="2" t="s">
        <v>71</v>
      </c>
      <c r="J11" s="2" t="s">
        <v>479</v>
      </c>
      <c r="P11" s="11" t="s">
        <v>482</v>
      </c>
      <c r="R11" s="2" t="s">
        <v>72</v>
      </c>
      <c r="AB11" s="2">
        <v>90000</v>
      </c>
      <c r="AC11" s="2">
        <v>7</v>
      </c>
      <c r="AN11" s="7"/>
      <c r="AO11" s="7"/>
      <c r="AP11" s="7"/>
      <c r="AQ11" s="7"/>
      <c r="AR11" s="7"/>
    </row>
    <row r="12" spans="1:44" x14ac:dyDescent="0.25">
      <c r="A12" s="9" t="s">
        <v>73</v>
      </c>
      <c r="E12" s="2">
        <v>11</v>
      </c>
      <c r="F12" s="2" t="s">
        <v>74</v>
      </c>
      <c r="H12" s="2" t="s">
        <v>75</v>
      </c>
      <c r="J12" s="2" t="s">
        <v>480</v>
      </c>
      <c r="R12" s="2"/>
      <c r="AB12" s="2">
        <v>100000</v>
      </c>
      <c r="AC12" s="2">
        <v>8</v>
      </c>
      <c r="AN12" s="7"/>
      <c r="AO12" s="7"/>
      <c r="AP12" s="7"/>
      <c r="AQ12" s="7"/>
      <c r="AR12" s="7"/>
    </row>
    <row r="13" spans="1:44" x14ac:dyDescent="0.25">
      <c r="A13" s="9" t="s">
        <v>77</v>
      </c>
      <c r="E13" s="2">
        <v>12</v>
      </c>
      <c r="F13" s="2" t="s">
        <v>78</v>
      </c>
      <c r="H13" s="2" t="s">
        <v>79</v>
      </c>
      <c r="R13" s="2"/>
      <c r="AB13" s="2">
        <v>110000</v>
      </c>
      <c r="AC13" s="2">
        <v>8</v>
      </c>
      <c r="AN13" s="7"/>
      <c r="AO13" s="7"/>
      <c r="AP13" s="7"/>
      <c r="AQ13" s="7"/>
      <c r="AR13" s="7"/>
    </row>
    <row r="14" spans="1:44" x14ac:dyDescent="0.25">
      <c r="A14" s="9" t="s">
        <v>80</v>
      </c>
      <c r="AB14" s="2">
        <v>120000</v>
      </c>
      <c r="AC14" s="2">
        <v>8</v>
      </c>
      <c r="AN14" s="7"/>
      <c r="AO14" s="7"/>
      <c r="AP14" s="7"/>
      <c r="AQ14" s="7"/>
      <c r="AR14" s="7"/>
    </row>
    <row r="15" spans="1:44" x14ac:dyDescent="0.25">
      <c r="A15" s="9" t="s">
        <v>82</v>
      </c>
      <c r="AB15" s="2">
        <v>130000</v>
      </c>
      <c r="AC15" s="2">
        <v>9</v>
      </c>
      <c r="AN15" s="7"/>
      <c r="AO15" s="7"/>
      <c r="AP15" s="7"/>
      <c r="AQ15" s="7"/>
      <c r="AR15" s="7"/>
    </row>
    <row r="16" spans="1:44" x14ac:dyDescent="0.25">
      <c r="A16" s="9" t="s">
        <v>83</v>
      </c>
      <c r="AB16" s="2">
        <v>140000</v>
      </c>
      <c r="AC16" s="2">
        <v>8</v>
      </c>
      <c r="AN16" s="7"/>
      <c r="AO16" s="7"/>
      <c r="AP16" s="7"/>
      <c r="AQ16" s="7"/>
      <c r="AR16" s="7"/>
    </row>
    <row r="17" spans="1:44" x14ac:dyDescent="0.25">
      <c r="A17" s="9" t="s">
        <v>85</v>
      </c>
      <c r="AB17" s="2">
        <v>150000</v>
      </c>
      <c r="AC17" s="2">
        <v>9</v>
      </c>
      <c r="AN17" s="7"/>
      <c r="AO17" s="7"/>
      <c r="AP17" s="7"/>
      <c r="AQ17" s="7"/>
      <c r="AR17" s="7"/>
    </row>
    <row r="18" spans="1:44" x14ac:dyDescent="0.25">
      <c r="A18" s="9" t="s">
        <v>86</v>
      </c>
      <c r="AB18" s="2">
        <v>160000</v>
      </c>
      <c r="AC18" s="2">
        <v>10</v>
      </c>
      <c r="AN18" s="7"/>
      <c r="AO18" s="7"/>
      <c r="AP18" s="7"/>
      <c r="AQ18" s="7"/>
      <c r="AR18" s="7"/>
    </row>
    <row r="19" spans="1:44" x14ac:dyDescent="0.25">
      <c r="A19" s="9" t="s">
        <v>87</v>
      </c>
      <c r="AB19" s="2">
        <v>170000</v>
      </c>
      <c r="AC19" s="2">
        <v>11</v>
      </c>
      <c r="AN19" s="7"/>
      <c r="AO19" s="7"/>
      <c r="AP19" s="7"/>
      <c r="AQ19" s="7"/>
      <c r="AR19" s="7"/>
    </row>
    <row r="20" spans="1:44" x14ac:dyDescent="0.25">
      <c r="A20" s="9" t="s">
        <v>88</v>
      </c>
      <c r="AB20" s="2">
        <v>180000</v>
      </c>
      <c r="AC20" s="2">
        <v>11</v>
      </c>
      <c r="AN20" s="7"/>
      <c r="AO20" s="7"/>
      <c r="AP20" s="7"/>
      <c r="AQ20" s="7"/>
      <c r="AR20" s="7"/>
    </row>
    <row r="21" spans="1:44" x14ac:dyDescent="0.25">
      <c r="A21" s="9" t="s">
        <v>89</v>
      </c>
      <c r="AB21" s="2">
        <v>190000</v>
      </c>
      <c r="AC21" s="2">
        <v>11</v>
      </c>
      <c r="AN21" s="7"/>
      <c r="AO21" s="7"/>
      <c r="AP21" s="7"/>
      <c r="AQ21" s="7"/>
      <c r="AR21" s="7"/>
    </row>
    <row r="22" spans="1:44" x14ac:dyDescent="0.25">
      <c r="A22" s="9" t="s">
        <v>90</v>
      </c>
      <c r="AB22" s="2">
        <v>200000</v>
      </c>
      <c r="AC22" s="2">
        <v>12</v>
      </c>
      <c r="AN22" s="7"/>
      <c r="AO22" s="7"/>
      <c r="AP22" s="7"/>
      <c r="AQ22" s="7"/>
      <c r="AR22" s="7"/>
    </row>
    <row r="23" spans="1:44" x14ac:dyDescent="0.25">
      <c r="A23" s="9" t="s">
        <v>91</v>
      </c>
      <c r="AB23" s="2">
        <v>210000</v>
      </c>
      <c r="AC23" s="2">
        <v>12</v>
      </c>
      <c r="AN23" s="7"/>
      <c r="AO23" s="7"/>
      <c r="AP23" s="7"/>
      <c r="AQ23" s="7"/>
      <c r="AR23" s="7"/>
    </row>
    <row r="24" spans="1:44" x14ac:dyDescent="0.25">
      <c r="A24" s="9" t="s">
        <v>92</v>
      </c>
      <c r="AB24" s="2">
        <v>220000</v>
      </c>
      <c r="AC24" s="2">
        <v>12</v>
      </c>
      <c r="AN24" s="7"/>
      <c r="AO24" s="7"/>
      <c r="AP24" s="7"/>
      <c r="AQ24" s="7"/>
      <c r="AR24" s="7"/>
    </row>
    <row r="25" spans="1:44" x14ac:dyDescent="0.25">
      <c r="A25" s="9" t="s">
        <v>93</v>
      </c>
      <c r="AB25" s="2">
        <v>230000</v>
      </c>
      <c r="AC25" s="2">
        <v>12</v>
      </c>
      <c r="AN25" s="7"/>
      <c r="AO25" s="7"/>
      <c r="AP25" s="7"/>
      <c r="AQ25" s="7"/>
      <c r="AR25" s="7"/>
    </row>
    <row r="26" spans="1:44" x14ac:dyDescent="0.25">
      <c r="A26" s="9" t="s">
        <v>94</v>
      </c>
      <c r="AB26" s="2">
        <v>240000</v>
      </c>
      <c r="AC26" s="2">
        <v>14</v>
      </c>
      <c r="AN26" s="7"/>
      <c r="AO26" s="7"/>
      <c r="AP26" s="7"/>
      <c r="AQ26" s="7"/>
      <c r="AR26" s="7"/>
    </row>
    <row r="27" spans="1:44" x14ac:dyDescent="0.25">
      <c r="A27" s="9" t="s">
        <v>95</v>
      </c>
      <c r="AB27" s="2">
        <v>250000</v>
      </c>
      <c r="AC27" s="2">
        <v>14</v>
      </c>
      <c r="AN27" s="7"/>
      <c r="AO27" s="7"/>
      <c r="AP27" s="7"/>
      <c r="AQ27" s="7"/>
      <c r="AR27" s="7"/>
    </row>
    <row r="28" spans="1:44" x14ac:dyDescent="0.25">
      <c r="A28" s="9" t="s">
        <v>96</v>
      </c>
      <c r="AB28" s="2">
        <v>260000</v>
      </c>
      <c r="AC28" s="2">
        <v>14</v>
      </c>
      <c r="AN28" s="7"/>
      <c r="AO28" s="7"/>
      <c r="AP28" s="7"/>
      <c r="AQ28" s="7"/>
      <c r="AR28" s="7"/>
    </row>
    <row r="29" spans="1:44" x14ac:dyDescent="0.25">
      <c r="A29" s="9" t="s">
        <v>97</v>
      </c>
      <c r="AB29" s="2">
        <v>270000</v>
      </c>
      <c r="AC29" s="2">
        <v>14</v>
      </c>
      <c r="AN29" s="7"/>
      <c r="AO29" s="7"/>
      <c r="AP29" s="7"/>
      <c r="AQ29" s="7"/>
      <c r="AR29" s="7"/>
    </row>
    <row r="30" spans="1:44" x14ac:dyDescent="0.25">
      <c r="A30" s="9" t="s">
        <v>98</v>
      </c>
      <c r="AB30" s="2">
        <v>280000</v>
      </c>
      <c r="AC30" s="2">
        <v>15</v>
      </c>
      <c r="AN30" s="7"/>
      <c r="AO30" s="7"/>
      <c r="AP30" s="7"/>
      <c r="AQ30" s="7"/>
      <c r="AR30" s="7"/>
    </row>
    <row r="31" spans="1:44" x14ac:dyDescent="0.25">
      <c r="A31" s="9" t="s">
        <v>99</v>
      </c>
      <c r="AB31" s="2">
        <v>290000</v>
      </c>
      <c r="AC31" s="2">
        <v>16</v>
      </c>
      <c r="AN31" s="7"/>
      <c r="AO31" s="7"/>
      <c r="AP31" s="7"/>
      <c r="AQ31" s="7"/>
      <c r="AR31" s="7"/>
    </row>
    <row r="32" spans="1:44" x14ac:dyDescent="0.25">
      <c r="A32" s="9" t="s">
        <v>100</v>
      </c>
      <c r="AB32" s="2">
        <v>300000</v>
      </c>
      <c r="AC32" s="2">
        <v>16</v>
      </c>
      <c r="AN32" s="7"/>
      <c r="AO32" s="7"/>
      <c r="AP32" s="7"/>
      <c r="AQ32" s="7"/>
      <c r="AR32" s="7"/>
    </row>
    <row r="33" spans="1:44" x14ac:dyDescent="0.25">
      <c r="A33" s="9" t="s">
        <v>101</v>
      </c>
      <c r="AB33" s="2">
        <v>310000</v>
      </c>
      <c r="AC33" s="2">
        <v>17</v>
      </c>
      <c r="AN33" s="7"/>
      <c r="AO33" s="7"/>
      <c r="AP33" s="7"/>
      <c r="AQ33" s="7"/>
      <c r="AR33" s="7"/>
    </row>
    <row r="34" spans="1:44" x14ac:dyDescent="0.25">
      <c r="A34" s="9" t="s">
        <v>102</v>
      </c>
      <c r="AB34" s="2">
        <v>320000</v>
      </c>
      <c r="AC34" s="2">
        <v>17</v>
      </c>
      <c r="AN34" s="7"/>
      <c r="AO34" s="7"/>
      <c r="AP34" s="7"/>
      <c r="AQ34" s="7"/>
      <c r="AR34" s="7"/>
    </row>
    <row r="35" spans="1:44" x14ac:dyDescent="0.25">
      <c r="A35" s="9" t="s">
        <v>103</v>
      </c>
      <c r="AB35" s="2">
        <v>330000</v>
      </c>
      <c r="AC35" s="2">
        <v>17</v>
      </c>
      <c r="AN35" s="7"/>
      <c r="AO35" s="7"/>
      <c r="AP35" s="7"/>
      <c r="AQ35" s="7"/>
      <c r="AR35" s="7"/>
    </row>
    <row r="36" spans="1:44" x14ac:dyDescent="0.25">
      <c r="A36" s="9" t="s">
        <v>104</v>
      </c>
      <c r="AB36" s="2">
        <v>340000</v>
      </c>
      <c r="AC36" s="2">
        <v>17</v>
      </c>
      <c r="AN36" s="7"/>
      <c r="AO36" s="7"/>
      <c r="AP36" s="7"/>
      <c r="AQ36" s="7"/>
      <c r="AR36" s="7"/>
    </row>
    <row r="37" spans="1:44" x14ac:dyDescent="0.25">
      <c r="A37" s="9" t="s">
        <v>105</v>
      </c>
      <c r="AB37" s="2">
        <v>350000</v>
      </c>
      <c r="AC37" s="2">
        <v>17</v>
      </c>
      <c r="AN37" s="7"/>
      <c r="AO37" s="7"/>
      <c r="AP37" s="7"/>
      <c r="AQ37" s="7"/>
      <c r="AR37" s="7"/>
    </row>
    <row r="38" spans="1:44" x14ac:dyDescent="0.25">
      <c r="A38" s="9" t="s">
        <v>106</v>
      </c>
      <c r="AB38" s="2">
        <v>360000</v>
      </c>
      <c r="AC38" s="2">
        <v>18</v>
      </c>
      <c r="AN38" s="7"/>
      <c r="AO38" s="7"/>
      <c r="AP38" s="7"/>
      <c r="AQ38" s="7"/>
      <c r="AR38" s="7"/>
    </row>
    <row r="39" spans="1:44" x14ac:dyDescent="0.25">
      <c r="A39" s="9" t="s">
        <v>107</v>
      </c>
      <c r="AB39" s="2">
        <v>370000</v>
      </c>
      <c r="AC39" s="2">
        <v>18</v>
      </c>
      <c r="AN39" s="7"/>
      <c r="AO39" s="7"/>
      <c r="AP39" s="7"/>
      <c r="AQ39" s="7"/>
      <c r="AR39" s="7"/>
    </row>
    <row r="40" spans="1:44" x14ac:dyDescent="0.25">
      <c r="A40" s="9" t="s">
        <v>108</v>
      </c>
      <c r="AB40" s="2">
        <v>380000</v>
      </c>
      <c r="AC40" s="2">
        <v>20</v>
      </c>
      <c r="AN40" s="7"/>
      <c r="AO40" s="7"/>
      <c r="AP40" s="7"/>
      <c r="AQ40" s="7"/>
      <c r="AR40" s="7"/>
    </row>
    <row r="41" spans="1:44" x14ac:dyDescent="0.25">
      <c r="A41" s="9" t="s">
        <v>109</v>
      </c>
      <c r="AB41" s="2">
        <v>390000</v>
      </c>
      <c r="AC41" s="2">
        <v>20</v>
      </c>
      <c r="AN41" s="7"/>
      <c r="AO41" s="7"/>
      <c r="AP41" s="7"/>
      <c r="AQ41" s="7"/>
      <c r="AR41" s="7"/>
    </row>
    <row r="42" spans="1:44" x14ac:dyDescent="0.25">
      <c r="A42" s="9" t="s">
        <v>110</v>
      </c>
      <c r="AB42" s="2">
        <v>400000</v>
      </c>
      <c r="AC42" s="2">
        <v>26</v>
      </c>
      <c r="AN42" s="7"/>
      <c r="AO42" s="7"/>
      <c r="AP42" s="7"/>
      <c r="AQ42" s="7"/>
      <c r="AR42" s="7"/>
    </row>
    <row r="43" spans="1:44" x14ac:dyDescent="0.25">
      <c r="A43" s="9" t="s">
        <v>111</v>
      </c>
      <c r="AB43" s="2">
        <v>410000</v>
      </c>
      <c r="AC43" s="2">
        <v>26</v>
      </c>
      <c r="AN43" s="7"/>
      <c r="AO43" s="7"/>
      <c r="AP43" s="7"/>
      <c r="AQ43" s="7"/>
      <c r="AR43" s="7"/>
    </row>
    <row r="44" spans="1:44" x14ac:dyDescent="0.25">
      <c r="A44" s="9" t="s">
        <v>112</v>
      </c>
      <c r="AB44" s="2">
        <v>450000</v>
      </c>
      <c r="AC44" s="2">
        <v>26</v>
      </c>
      <c r="AN44" s="7"/>
      <c r="AO44" s="7"/>
      <c r="AP44" s="7"/>
      <c r="AQ44" s="7"/>
      <c r="AR44" s="7"/>
    </row>
    <row r="45" spans="1:44" x14ac:dyDescent="0.25">
      <c r="A45" s="9" t="s">
        <v>113</v>
      </c>
      <c r="AB45" s="2">
        <v>460000</v>
      </c>
      <c r="AC45" s="2">
        <v>26</v>
      </c>
      <c r="AN45" s="7"/>
      <c r="AO45" s="7"/>
      <c r="AP45" s="7"/>
      <c r="AQ45" s="7"/>
      <c r="AR45" s="7"/>
    </row>
    <row r="46" spans="1:44" x14ac:dyDescent="0.25">
      <c r="A46" s="9" t="s">
        <v>114</v>
      </c>
      <c r="AB46" s="2">
        <v>500000</v>
      </c>
      <c r="AC46" s="2">
        <v>27</v>
      </c>
      <c r="AN46" s="7"/>
      <c r="AO46" s="7"/>
      <c r="AP46" s="7"/>
      <c r="AQ46" s="7"/>
      <c r="AR46" s="7"/>
    </row>
    <row r="47" spans="1:44" x14ac:dyDescent="0.25">
      <c r="A47" s="9" t="s">
        <v>115</v>
      </c>
      <c r="AB47" s="2">
        <v>550000</v>
      </c>
      <c r="AC47" s="2">
        <v>28</v>
      </c>
      <c r="AN47" s="7"/>
      <c r="AO47" s="7"/>
      <c r="AP47" s="7"/>
      <c r="AQ47" s="7"/>
      <c r="AR47" s="7"/>
    </row>
    <row r="48" spans="1:44" x14ac:dyDescent="0.25">
      <c r="A48" s="9" t="s">
        <v>116</v>
      </c>
      <c r="AB48" s="2">
        <v>600000</v>
      </c>
      <c r="AC48" s="2">
        <v>29</v>
      </c>
      <c r="AN48" s="7"/>
      <c r="AO48" s="7"/>
      <c r="AP48" s="7"/>
      <c r="AQ48" s="7"/>
      <c r="AR48" s="7"/>
    </row>
    <row r="49" spans="1:44" x14ac:dyDescent="0.25">
      <c r="A49" s="9" t="s">
        <v>117</v>
      </c>
      <c r="AB49" s="2">
        <v>650000</v>
      </c>
      <c r="AC49" s="2">
        <v>30</v>
      </c>
      <c r="AN49" s="7"/>
      <c r="AO49" s="7"/>
      <c r="AP49" s="7"/>
      <c r="AQ49" s="7"/>
      <c r="AR49" s="7"/>
    </row>
    <row r="50" spans="1:44" x14ac:dyDescent="0.25">
      <c r="A50" s="9" t="s">
        <v>118</v>
      </c>
      <c r="AB50" s="2">
        <v>700000</v>
      </c>
      <c r="AC50" s="2">
        <v>32</v>
      </c>
      <c r="AN50" s="7"/>
      <c r="AO50" s="7"/>
      <c r="AP50" s="7"/>
      <c r="AQ50" s="7"/>
      <c r="AR50" s="7"/>
    </row>
    <row r="51" spans="1:44" x14ac:dyDescent="0.25">
      <c r="A51" s="9" t="s">
        <v>119</v>
      </c>
      <c r="AB51" s="2">
        <v>800000</v>
      </c>
      <c r="AC51" s="2">
        <v>35</v>
      </c>
      <c r="AN51" s="7"/>
      <c r="AO51" s="7"/>
      <c r="AP51" s="7"/>
      <c r="AQ51" s="7"/>
      <c r="AR51" s="7"/>
    </row>
    <row r="52" spans="1:44" x14ac:dyDescent="0.25">
      <c r="A52" s="9" t="s">
        <v>120</v>
      </c>
      <c r="AB52" s="2">
        <v>1000000</v>
      </c>
      <c r="AC52" s="2">
        <v>45</v>
      </c>
      <c r="AN52" s="7"/>
      <c r="AO52" s="7"/>
      <c r="AP52" s="7"/>
      <c r="AQ52" s="7"/>
      <c r="AR52" s="7"/>
    </row>
    <row r="53" spans="1:44" x14ac:dyDescent="0.25">
      <c r="A53" s="9" t="s">
        <v>121</v>
      </c>
      <c r="AN53" s="7"/>
      <c r="AO53" s="7"/>
      <c r="AP53" s="7"/>
      <c r="AQ53" s="7"/>
      <c r="AR53" s="7"/>
    </row>
    <row r="54" spans="1:44" x14ac:dyDescent="0.25">
      <c r="A54" s="9" t="s">
        <v>122</v>
      </c>
      <c r="AN54" s="7"/>
      <c r="AO54" s="7"/>
      <c r="AP54" s="7"/>
      <c r="AQ54" s="7"/>
      <c r="AR54" s="7"/>
    </row>
    <row r="55" spans="1:44" x14ac:dyDescent="0.25">
      <c r="A55" s="9" t="s">
        <v>123</v>
      </c>
      <c r="AN55" s="7"/>
      <c r="AO55" s="7"/>
      <c r="AP55" s="7"/>
      <c r="AQ55" s="7"/>
      <c r="AR55" s="7"/>
    </row>
    <row r="56" spans="1:44" x14ac:dyDescent="0.25">
      <c r="A56" s="9" t="s">
        <v>124</v>
      </c>
      <c r="AN56" s="7"/>
      <c r="AO56" s="7"/>
      <c r="AP56" s="7"/>
      <c r="AQ56" s="7"/>
      <c r="AR56" s="7"/>
    </row>
    <row r="57" spans="1:44" x14ac:dyDescent="0.25">
      <c r="A57" s="9" t="s">
        <v>125</v>
      </c>
      <c r="AN57" s="7"/>
      <c r="AO57" s="7"/>
      <c r="AP57" s="7"/>
      <c r="AQ57" s="7"/>
      <c r="AR57" s="7"/>
    </row>
    <row r="58" spans="1:44" x14ac:dyDescent="0.25">
      <c r="A58" s="9" t="s">
        <v>126</v>
      </c>
      <c r="AN58" s="7"/>
      <c r="AO58" s="7"/>
      <c r="AP58" s="7"/>
      <c r="AQ58" s="7"/>
      <c r="AR58" s="7"/>
    </row>
    <row r="59" spans="1:44" x14ac:dyDescent="0.25">
      <c r="A59" s="9" t="s">
        <v>127</v>
      </c>
      <c r="AN59" s="7"/>
      <c r="AO59" s="7"/>
      <c r="AP59" s="7"/>
      <c r="AQ59" s="7"/>
      <c r="AR59" s="7"/>
    </row>
    <row r="60" spans="1:44" x14ac:dyDescent="0.25">
      <c r="A60" s="9" t="s">
        <v>128</v>
      </c>
      <c r="AN60" s="7"/>
      <c r="AO60" s="7"/>
      <c r="AP60" s="7"/>
      <c r="AQ60" s="7"/>
      <c r="AR60" s="7"/>
    </row>
    <row r="61" spans="1:44" x14ac:dyDescent="0.25">
      <c r="A61" s="9" t="s">
        <v>129</v>
      </c>
      <c r="AN61" s="7"/>
      <c r="AO61" s="7"/>
      <c r="AP61" s="7"/>
      <c r="AQ61" s="7"/>
      <c r="AR61" s="7"/>
    </row>
    <row r="62" spans="1:44" x14ac:dyDescent="0.25">
      <c r="A62" s="9" t="s">
        <v>130</v>
      </c>
      <c r="AN62" s="7"/>
      <c r="AO62" s="7"/>
      <c r="AP62" s="7"/>
      <c r="AQ62" s="7"/>
      <c r="AR62" s="7"/>
    </row>
    <row r="63" spans="1:44" x14ac:dyDescent="0.25">
      <c r="A63" s="9" t="s">
        <v>131</v>
      </c>
      <c r="AN63" s="7"/>
      <c r="AO63" s="7"/>
      <c r="AP63" s="7"/>
      <c r="AQ63" s="7"/>
      <c r="AR63" s="7"/>
    </row>
    <row r="64" spans="1:44" x14ac:dyDescent="0.25">
      <c r="A64" s="9" t="s">
        <v>132</v>
      </c>
      <c r="AN64" s="7"/>
      <c r="AO64" s="7"/>
      <c r="AP64" s="7"/>
      <c r="AQ64" s="7"/>
      <c r="AR64" s="7"/>
    </row>
    <row r="65" spans="1:44" x14ac:dyDescent="0.25">
      <c r="A65" s="9" t="s">
        <v>133</v>
      </c>
      <c r="AN65" s="7"/>
      <c r="AO65" s="7"/>
      <c r="AP65" s="7"/>
      <c r="AQ65" s="7"/>
      <c r="AR65" s="7"/>
    </row>
    <row r="66" spans="1:44" x14ac:dyDescent="0.25">
      <c r="A66" s="9" t="s">
        <v>134</v>
      </c>
      <c r="AN66" s="7"/>
      <c r="AO66" s="7"/>
      <c r="AP66" s="7"/>
      <c r="AQ66" s="7"/>
      <c r="AR66" s="7"/>
    </row>
    <row r="67" spans="1:44" x14ac:dyDescent="0.25">
      <c r="A67" s="9" t="s">
        <v>135</v>
      </c>
      <c r="AN67" s="7"/>
      <c r="AO67" s="7"/>
      <c r="AP67" s="7"/>
      <c r="AQ67" s="7"/>
      <c r="AR67" s="7"/>
    </row>
    <row r="68" spans="1:44" x14ac:dyDescent="0.25">
      <c r="A68" s="9" t="s">
        <v>136</v>
      </c>
      <c r="AN68" s="7"/>
      <c r="AO68" s="7"/>
      <c r="AP68" s="7"/>
      <c r="AQ68" s="7"/>
      <c r="AR68" s="7"/>
    </row>
    <row r="69" spans="1:44" x14ac:dyDescent="0.25">
      <c r="A69" s="9" t="s">
        <v>137</v>
      </c>
      <c r="AN69" s="7"/>
      <c r="AO69" s="7"/>
      <c r="AP69" s="7"/>
      <c r="AQ69" s="7"/>
      <c r="AR69" s="7"/>
    </row>
    <row r="70" spans="1:44" x14ac:dyDescent="0.25">
      <c r="A70" s="9" t="s">
        <v>138</v>
      </c>
      <c r="AN70" s="7"/>
      <c r="AO70" s="7"/>
      <c r="AP70" s="7"/>
      <c r="AQ70" s="7"/>
      <c r="AR70" s="7"/>
    </row>
    <row r="71" spans="1:44" x14ac:dyDescent="0.25">
      <c r="A71" s="9" t="s">
        <v>139</v>
      </c>
      <c r="AN71" s="7"/>
      <c r="AO71" s="7"/>
      <c r="AP71" s="7"/>
      <c r="AQ71" s="7"/>
      <c r="AR71" s="7"/>
    </row>
    <row r="72" spans="1:44" x14ac:dyDescent="0.25">
      <c r="A72" s="9" t="s">
        <v>140</v>
      </c>
      <c r="AN72" s="7"/>
      <c r="AO72" s="7"/>
      <c r="AP72" s="7"/>
      <c r="AQ72" s="7"/>
      <c r="AR72" s="7"/>
    </row>
    <row r="73" spans="1:44" x14ac:dyDescent="0.25">
      <c r="A73" s="9" t="s">
        <v>141</v>
      </c>
      <c r="AN73" s="7"/>
      <c r="AO73" s="7"/>
      <c r="AP73" s="7"/>
      <c r="AQ73" s="7"/>
      <c r="AR73" s="7"/>
    </row>
    <row r="74" spans="1:44" x14ac:dyDescent="0.25">
      <c r="A74" s="9" t="s">
        <v>142</v>
      </c>
      <c r="AN74" s="7"/>
      <c r="AO74" s="7"/>
      <c r="AP74" s="7"/>
      <c r="AQ74" s="7"/>
      <c r="AR74" s="7"/>
    </row>
    <row r="75" spans="1:44" x14ac:dyDescent="0.25">
      <c r="A75" s="9" t="s">
        <v>143</v>
      </c>
      <c r="AN75" s="7"/>
      <c r="AO75" s="7"/>
      <c r="AP75" s="7"/>
      <c r="AQ75" s="7"/>
      <c r="AR75" s="7"/>
    </row>
    <row r="76" spans="1:44" x14ac:dyDescent="0.25">
      <c r="A76" s="9" t="s">
        <v>144</v>
      </c>
      <c r="AN76" s="7"/>
      <c r="AO76" s="7"/>
      <c r="AP76" s="7"/>
      <c r="AQ76" s="7"/>
      <c r="AR76" s="7"/>
    </row>
    <row r="77" spans="1:44" x14ac:dyDescent="0.25">
      <c r="A77" s="9" t="s">
        <v>145</v>
      </c>
      <c r="AN77" s="7"/>
      <c r="AO77" s="7"/>
      <c r="AP77" s="7"/>
      <c r="AQ77" s="7"/>
      <c r="AR77" s="7"/>
    </row>
    <row r="78" spans="1:44" x14ac:dyDescent="0.25">
      <c r="A78" s="9" t="s">
        <v>146</v>
      </c>
      <c r="AN78" s="7"/>
      <c r="AO78" s="7"/>
      <c r="AP78" s="7"/>
      <c r="AQ78" s="7"/>
      <c r="AR78" s="7"/>
    </row>
    <row r="79" spans="1:44" x14ac:dyDescent="0.25">
      <c r="A79" s="9" t="s">
        <v>147</v>
      </c>
      <c r="AN79" s="7"/>
      <c r="AO79" s="7"/>
      <c r="AP79" s="7"/>
      <c r="AQ79" s="7"/>
      <c r="AR79" s="7"/>
    </row>
    <row r="80" spans="1:44" x14ac:dyDescent="0.25">
      <c r="A80" s="9" t="s">
        <v>148</v>
      </c>
      <c r="AN80" s="7"/>
      <c r="AO80" s="7"/>
      <c r="AP80" s="7"/>
      <c r="AQ80" s="7"/>
      <c r="AR80" s="7"/>
    </row>
    <row r="81" spans="1:44" x14ac:dyDescent="0.25">
      <c r="A81" s="9" t="s">
        <v>149</v>
      </c>
      <c r="AN81" s="7"/>
      <c r="AO81" s="7"/>
      <c r="AP81" s="7"/>
      <c r="AQ81" s="7"/>
      <c r="AR81" s="7"/>
    </row>
    <row r="82" spans="1:44" x14ac:dyDescent="0.25">
      <c r="A82" s="9" t="s">
        <v>150</v>
      </c>
      <c r="AN82" s="7"/>
      <c r="AO82" s="7"/>
      <c r="AP82" s="7"/>
      <c r="AQ82" s="7"/>
      <c r="AR82" s="7"/>
    </row>
    <row r="83" spans="1:44" x14ac:dyDescent="0.25">
      <c r="A83" s="9" t="s">
        <v>151</v>
      </c>
      <c r="AN83" s="7"/>
      <c r="AO83" s="7"/>
      <c r="AP83" s="7"/>
      <c r="AQ83" s="7"/>
      <c r="AR83" s="7"/>
    </row>
    <row r="84" spans="1:44" x14ac:dyDescent="0.25">
      <c r="A84" s="9" t="s">
        <v>152</v>
      </c>
      <c r="AN84" s="7"/>
      <c r="AO84" s="7"/>
      <c r="AP84" s="7"/>
      <c r="AQ84" s="7"/>
      <c r="AR84" s="7"/>
    </row>
    <row r="85" spans="1:44" x14ac:dyDescent="0.25">
      <c r="A85" s="9" t="s">
        <v>153</v>
      </c>
      <c r="AN85" s="7"/>
      <c r="AO85" s="7"/>
      <c r="AP85" s="7"/>
      <c r="AQ85" s="7"/>
      <c r="AR85" s="7"/>
    </row>
    <row r="86" spans="1:44" x14ac:dyDescent="0.25">
      <c r="A86" s="9" t="s">
        <v>154</v>
      </c>
      <c r="AN86" s="7"/>
      <c r="AO86" s="7"/>
      <c r="AP86" s="7"/>
      <c r="AQ86" s="7"/>
      <c r="AR86" s="7"/>
    </row>
    <row r="87" spans="1:44" x14ac:dyDescent="0.25">
      <c r="A87" s="9" t="s">
        <v>155</v>
      </c>
      <c r="AN87" s="7"/>
      <c r="AO87" s="7"/>
      <c r="AP87" s="7"/>
      <c r="AQ87" s="7"/>
      <c r="AR87" s="7"/>
    </row>
    <row r="88" spans="1:44" x14ac:dyDescent="0.25">
      <c r="A88" s="9" t="s">
        <v>156</v>
      </c>
      <c r="AN88" s="7"/>
      <c r="AO88" s="7"/>
      <c r="AP88" s="7"/>
      <c r="AQ88" s="7"/>
      <c r="AR88" s="7"/>
    </row>
    <row r="89" spans="1:44" x14ac:dyDescent="0.25">
      <c r="A89" s="9" t="s">
        <v>157</v>
      </c>
      <c r="AN89" s="7"/>
      <c r="AO89" s="7"/>
      <c r="AP89" s="7"/>
      <c r="AQ89" s="7"/>
      <c r="AR89" s="7"/>
    </row>
    <row r="90" spans="1:44" x14ac:dyDescent="0.25">
      <c r="A90" s="9" t="s">
        <v>158</v>
      </c>
      <c r="AN90" s="7"/>
      <c r="AO90" s="7"/>
      <c r="AP90" s="7"/>
      <c r="AQ90" s="7"/>
      <c r="AR90" s="7"/>
    </row>
    <row r="91" spans="1:44" x14ac:dyDescent="0.25">
      <c r="A91" s="9" t="s">
        <v>159</v>
      </c>
      <c r="AN91" s="7"/>
      <c r="AO91" s="7"/>
      <c r="AP91" s="7"/>
      <c r="AQ91" s="7"/>
      <c r="AR91" s="7"/>
    </row>
    <row r="92" spans="1:44" x14ac:dyDescent="0.25">
      <c r="A92" s="9" t="s">
        <v>160</v>
      </c>
      <c r="AN92" s="7"/>
      <c r="AO92" s="7"/>
      <c r="AP92" s="7"/>
      <c r="AQ92" s="7"/>
      <c r="AR92" s="7"/>
    </row>
    <row r="93" spans="1:44" x14ac:dyDescent="0.25">
      <c r="A93" s="9" t="s">
        <v>161</v>
      </c>
      <c r="AN93" s="7"/>
      <c r="AO93" s="7"/>
      <c r="AP93" s="7"/>
      <c r="AQ93" s="7"/>
      <c r="AR93" s="7"/>
    </row>
    <row r="94" spans="1:44" x14ac:dyDescent="0.25">
      <c r="A94" s="9" t="s">
        <v>162</v>
      </c>
      <c r="AN94" s="7"/>
      <c r="AO94" s="7"/>
      <c r="AP94" s="7"/>
      <c r="AQ94" s="7"/>
      <c r="AR94" s="7"/>
    </row>
    <row r="95" spans="1:44" x14ac:dyDescent="0.25">
      <c r="A95" s="9" t="s">
        <v>163</v>
      </c>
      <c r="AN95" s="7"/>
      <c r="AO95" s="7"/>
      <c r="AP95" s="7"/>
      <c r="AQ95" s="7"/>
      <c r="AR95" s="7"/>
    </row>
    <row r="96" spans="1:44" x14ac:dyDescent="0.25">
      <c r="A96" s="9" t="s">
        <v>164</v>
      </c>
      <c r="AN96" s="7"/>
      <c r="AO96" s="7"/>
      <c r="AP96" s="7"/>
      <c r="AQ96" s="7"/>
      <c r="AR96" s="7"/>
    </row>
    <row r="97" spans="1:44" x14ac:dyDescent="0.25">
      <c r="A97" s="9" t="s">
        <v>165</v>
      </c>
      <c r="AN97" s="7"/>
      <c r="AO97" s="7"/>
      <c r="AP97" s="7"/>
      <c r="AQ97" s="7"/>
      <c r="AR97" s="7"/>
    </row>
    <row r="98" spans="1:44" x14ac:dyDescent="0.25">
      <c r="A98" s="9" t="s">
        <v>166</v>
      </c>
      <c r="AN98" s="7"/>
      <c r="AO98" s="7"/>
      <c r="AP98" s="7"/>
      <c r="AQ98" s="7"/>
      <c r="AR98" s="7"/>
    </row>
    <row r="99" spans="1:44" x14ac:dyDescent="0.25">
      <c r="A99" s="9" t="s">
        <v>167</v>
      </c>
      <c r="AN99" s="7"/>
      <c r="AO99" s="7"/>
      <c r="AP99" s="7"/>
      <c r="AQ99" s="7"/>
      <c r="AR99" s="7"/>
    </row>
    <row r="100" spans="1:44" x14ac:dyDescent="0.25">
      <c r="A100" s="9" t="s">
        <v>168</v>
      </c>
      <c r="AN100" s="7"/>
      <c r="AO100" s="7"/>
      <c r="AP100" s="7"/>
      <c r="AQ100" s="7"/>
      <c r="AR100" s="7"/>
    </row>
    <row r="101" spans="1:44" x14ac:dyDescent="0.25">
      <c r="A101" s="9" t="s">
        <v>169</v>
      </c>
      <c r="AN101" s="7"/>
      <c r="AO101" s="7"/>
      <c r="AP101" s="7"/>
      <c r="AQ101" s="7"/>
      <c r="AR101" s="7"/>
    </row>
    <row r="102" spans="1:44" x14ac:dyDescent="0.25">
      <c r="A102" s="9" t="s">
        <v>170</v>
      </c>
      <c r="AN102" s="7"/>
      <c r="AO102" s="7"/>
      <c r="AP102" s="7"/>
      <c r="AQ102" s="7"/>
      <c r="AR102" s="7"/>
    </row>
    <row r="103" spans="1:44" x14ac:dyDescent="0.25">
      <c r="A103" s="9" t="s">
        <v>171</v>
      </c>
      <c r="AN103" s="7"/>
      <c r="AO103" s="7"/>
      <c r="AP103" s="7"/>
      <c r="AQ103" s="7"/>
      <c r="AR103" s="7"/>
    </row>
    <row r="104" spans="1:44" x14ac:dyDescent="0.25">
      <c r="A104" s="9" t="s">
        <v>172</v>
      </c>
      <c r="AN104" s="7"/>
      <c r="AO104" s="7"/>
      <c r="AP104" s="7"/>
      <c r="AQ104" s="7"/>
      <c r="AR104" s="7"/>
    </row>
    <row r="105" spans="1:44" x14ac:dyDescent="0.25">
      <c r="A105" s="9" t="s">
        <v>173</v>
      </c>
      <c r="AN105" s="7"/>
      <c r="AO105" s="7"/>
      <c r="AP105" s="7"/>
      <c r="AQ105" s="7"/>
      <c r="AR105" s="7"/>
    </row>
    <row r="106" spans="1:44" x14ac:dyDescent="0.25">
      <c r="A106" s="9" t="s">
        <v>174</v>
      </c>
      <c r="AN106" s="7"/>
      <c r="AO106" s="7"/>
      <c r="AP106" s="7"/>
      <c r="AQ106" s="7"/>
      <c r="AR106" s="7"/>
    </row>
    <row r="107" spans="1:44" x14ac:dyDescent="0.25">
      <c r="A107" s="9" t="s">
        <v>175</v>
      </c>
      <c r="AN107" s="7"/>
      <c r="AO107" s="7"/>
      <c r="AP107" s="7"/>
      <c r="AQ107" s="7"/>
      <c r="AR107" s="7"/>
    </row>
    <row r="108" spans="1:44" x14ac:dyDescent="0.25">
      <c r="A108" s="9" t="s">
        <v>176</v>
      </c>
      <c r="AN108" s="7"/>
      <c r="AO108" s="7"/>
      <c r="AP108" s="7"/>
      <c r="AQ108" s="7"/>
      <c r="AR108" s="7"/>
    </row>
    <row r="109" spans="1:44" x14ac:dyDescent="0.25">
      <c r="A109" s="9" t="s">
        <v>177</v>
      </c>
      <c r="AN109" s="7"/>
      <c r="AO109" s="7"/>
      <c r="AP109" s="7"/>
      <c r="AQ109" s="7"/>
      <c r="AR109" s="7"/>
    </row>
    <row r="110" spans="1:44" x14ac:dyDescent="0.25">
      <c r="A110" s="9" t="s">
        <v>178</v>
      </c>
      <c r="AN110" s="7"/>
      <c r="AO110" s="7"/>
      <c r="AP110" s="7"/>
      <c r="AQ110" s="7"/>
      <c r="AR110" s="7"/>
    </row>
    <row r="111" spans="1:44" x14ac:dyDescent="0.25">
      <c r="A111" s="9" t="s">
        <v>179</v>
      </c>
      <c r="AN111" s="7"/>
      <c r="AO111" s="7"/>
      <c r="AP111" s="7"/>
      <c r="AQ111" s="7"/>
      <c r="AR111" s="7"/>
    </row>
    <row r="112" spans="1:44" x14ac:dyDescent="0.25">
      <c r="A112" s="9" t="s">
        <v>180</v>
      </c>
      <c r="AN112" s="7"/>
      <c r="AO112" s="7"/>
      <c r="AP112" s="7"/>
      <c r="AQ112" s="7"/>
      <c r="AR112" s="7"/>
    </row>
    <row r="113" spans="1:44" x14ac:dyDescent="0.25">
      <c r="A113" s="9" t="s">
        <v>181</v>
      </c>
      <c r="AN113" s="7"/>
      <c r="AO113" s="7"/>
      <c r="AP113" s="7"/>
      <c r="AQ113" s="7"/>
      <c r="AR113" s="7"/>
    </row>
    <row r="114" spans="1:44" x14ac:dyDescent="0.25">
      <c r="A114" s="9" t="s">
        <v>182</v>
      </c>
      <c r="AN114" s="7"/>
      <c r="AO114" s="7"/>
      <c r="AP114" s="7"/>
      <c r="AQ114" s="7"/>
      <c r="AR114" s="7"/>
    </row>
    <row r="115" spans="1:44" x14ac:dyDescent="0.25">
      <c r="A115" s="9" t="s">
        <v>183</v>
      </c>
      <c r="AN115" s="7"/>
      <c r="AO115" s="7"/>
      <c r="AP115" s="7"/>
      <c r="AQ115" s="7"/>
      <c r="AR115" s="7"/>
    </row>
    <row r="116" spans="1:44" x14ac:dyDescent="0.25">
      <c r="A116" s="9" t="s">
        <v>184</v>
      </c>
      <c r="AN116" s="7"/>
      <c r="AO116" s="7"/>
      <c r="AP116" s="7"/>
      <c r="AQ116" s="7"/>
      <c r="AR116" s="7"/>
    </row>
    <row r="117" spans="1:44" x14ac:dyDescent="0.25">
      <c r="A117" s="9" t="s">
        <v>185</v>
      </c>
      <c r="AN117" s="7"/>
      <c r="AO117" s="7"/>
      <c r="AP117" s="7"/>
      <c r="AQ117" s="7"/>
      <c r="AR117" s="7"/>
    </row>
    <row r="118" spans="1:44" x14ac:dyDescent="0.25">
      <c r="A118" s="9" t="s">
        <v>186</v>
      </c>
      <c r="AN118" s="7"/>
      <c r="AO118" s="7"/>
      <c r="AP118" s="7"/>
      <c r="AQ118" s="7"/>
      <c r="AR118" s="7"/>
    </row>
    <row r="119" spans="1:44" x14ac:dyDescent="0.25">
      <c r="A119" s="9" t="s">
        <v>187</v>
      </c>
      <c r="AN119" s="7"/>
      <c r="AO119" s="7"/>
      <c r="AP119" s="7"/>
      <c r="AQ119" s="7"/>
      <c r="AR119" s="7"/>
    </row>
    <row r="120" spans="1:44" x14ac:dyDescent="0.25">
      <c r="A120" s="9" t="s">
        <v>188</v>
      </c>
      <c r="AN120" s="7"/>
      <c r="AO120" s="7"/>
      <c r="AP120" s="7"/>
      <c r="AQ120" s="7"/>
      <c r="AR120" s="7"/>
    </row>
    <row r="121" spans="1:44" x14ac:dyDescent="0.25">
      <c r="A121" s="9" t="s">
        <v>189</v>
      </c>
      <c r="AN121" s="7"/>
      <c r="AO121" s="7"/>
      <c r="AP121" s="7"/>
      <c r="AQ121" s="7"/>
      <c r="AR121" s="7"/>
    </row>
    <row r="122" spans="1:44" x14ac:dyDescent="0.25">
      <c r="A122" s="9" t="s">
        <v>190</v>
      </c>
      <c r="AN122" s="7"/>
      <c r="AO122" s="7"/>
      <c r="AP122" s="7"/>
      <c r="AQ122" s="7"/>
      <c r="AR122" s="7"/>
    </row>
    <row r="123" spans="1:44" x14ac:dyDescent="0.25">
      <c r="A123" s="9" t="s">
        <v>191</v>
      </c>
      <c r="AN123" s="7"/>
      <c r="AO123" s="7"/>
      <c r="AP123" s="7"/>
      <c r="AQ123" s="7"/>
      <c r="AR123" s="7"/>
    </row>
    <row r="124" spans="1:44" x14ac:dyDescent="0.25">
      <c r="A124" s="9" t="s">
        <v>192</v>
      </c>
      <c r="AN124" s="7"/>
      <c r="AO124" s="7"/>
      <c r="AP124" s="7"/>
      <c r="AQ124" s="7"/>
      <c r="AR124" s="7"/>
    </row>
    <row r="125" spans="1:44" x14ac:dyDescent="0.25">
      <c r="A125" s="9" t="s">
        <v>193</v>
      </c>
      <c r="AN125" s="7"/>
      <c r="AO125" s="7"/>
      <c r="AP125" s="7"/>
      <c r="AQ125" s="7"/>
      <c r="AR125" s="7"/>
    </row>
    <row r="126" spans="1:44" x14ac:dyDescent="0.25">
      <c r="A126" s="9" t="s">
        <v>194</v>
      </c>
      <c r="AN126" s="7"/>
      <c r="AO126" s="7"/>
      <c r="AP126" s="7"/>
      <c r="AQ126" s="7"/>
      <c r="AR126" s="7"/>
    </row>
    <row r="127" spans="1:44" x14ac:dyDescent="0.25">
      <c r="A127" s="9" t="s">
        <v>195</v>
      </c>
      <c r="AN127" s="7"/>
      <c r="AO127" s="7"/>
      <c r="AP127" s="7"/>
      <c r="AQ127" s="7"/>
      <c r="AR127" s="7"/>
    </row>
    <row r="128" spans="1:44" x14ac:dyDescent="0.25">
      <c r="A128" s="9" t="s">
        <v>196</v>
      </c>
      <c r="AN128" s="7"/>
      <c r="AO128" s="7"/>
      <c r="AP128" s="7"/>
      <c r="AQ128" s="7"/>
      <c r="AR128" s="7"/>
    </row>
    <row r="129" spans="1:44" x14ac:dyDescent="0.25">
      <c r="A129" s="9" t="s">
        <v>197</v>
      </c>
      <c r="AN129" s="7"/>
      <c r="AO129" s="7"/>
      <c r="AP129" s="7"/>
      <c r="AQ129" s="7"/>
      <c r="AR129" s="7"/>
    </row>
    <row r="130" spans="1:44" x14ac:dyDescent="0.25">
      <c r="A130" s="9" t="s">
        <v>198</v>
      </c>
      <c r="AN130" s="7"/>
      <c r="AO130" s="7"/>
      <c r="AP130" s="7"/>
      <c r="AQ130" s="7"/>
      <c r="AR130" s="7"/>
    </row>
    <row r="131" spans="1:44" x14ac:dyDescent="0.25">
      <c r="A131" s="9" t="s">
        <v>199</v>
      </c>
      <c r="AN131" s="7"/>
      <c r="AO131" s="7"/>
      <c r="AP131" s="7"/>
      <c r="AQ131" s="7"/>
      <c r="AR131" s="7"/>
    </row>
    <row r="132" spans="1:44" x14ac:dyDescent="0.25">
      <c r="A132" s="9" t="s">
        <v>200</v>
      </c>
      <c r="AN132" s="7"/>
      <c r="AO132" s="7"/>
      <c r="AP132" s="7"/>
      <c r="AQ132" s="7"/>
      <c r="AR132" s="7"/>
    </row>
    <row r="133" spans="1:44" x14ac:dyDescent="0.25">
      <c r="A133" s="9" t="s">
        <v>201</v>
      </c>
      <c r="AN133" s="7"/>
      <c r="AO133" s="7"/>
      <c r="AP133" s="7"/>
      <c r="AQ133" s="7"/>
      <c r="AR133" s="7"/>
    </row>
    <row r="134" spans="1:44" x14ac:dyDescent="0.25">
      <c r="A134" s="9" t="s">
        <v>202</v>
      </c>
      <c r="AN134" s="7"/>
      <c r="AO134" s="7"/>
      <c r="AP134" s="7"/>
      <c r="AQ134" s="7"/>
      <c r="AR134" s="7"/>
    </row>
    <row r="135" spans="1:44" x14ac:dyDescent="0.25">
      <c r="A135" s="9" t="s">
        <v>203</v>
      </c>
      <c r="AN135" s="7"/>
      <c r="AO135" s="7"/>
      <c r="AP135" s="7"/>
      <c r="AQ135" s="7"/>
      <c r="AR135" s="7"/>
    </row>
    <row r="136" spans="1:44" x14ac:dyDescent="0.25">
      <c r="A136" s="9" t="s">
        <v>204</v>
      </c>
      <c r="AN136" s="7"/>
      <c r="AO136" s="7"/>
      <c r="AP136" s="7"/>
      <c r="AQ136" s="7"/>
      <c r="AR136" s="7"/>
    </row>
    <row r="137" spans="1:44" x14ac:dyDescent="0.25">
      <c r="A137" s="9" t="s">
        <v>205</v>
      </c>
      <c r="AN137" s="7"/>
      <c r="AO137" s="7"/>
      <c r="AP137" s="7"/>
      <c r="AQ137" s="7"/>
      <c r="AR137" s="7"/>
    </row>
    <row r="138" spans="1:44" x14ac:dyDescent="0.25">
      <c r="A138" s="9" t="s">
        <v>206</v>
      </c>
      <c r="AN138" s="7"/>
      <c r="AO138" s="7"/>
      <c r="AP138" s="7"/>
      <c r="AQ138" s="7"/>
      <c r="AR138" s="7"/>
    </row>
    <row r="139" spans="1:44" x14ac:dyDescent="0.25">
      <c r="A139" s="9" t="s">
        <v>207</v>
      </c>
      <c r="AN139" s="7"/>
      <c r="AO139" s="7"/>
      <c r="AP139" s="7"/>
      <c r="AQ139" s="7"/>
      <c r="AR139" s="7"/>
    </row>
    <row r="140" spans="1:44" x14ac:dyDescent="0.25">
      <c r="A140" s="9" t="s">
        <v>208</v>
      </c>
      <c r="AN140" s="7"/>
      <c r="AO140" s="7"/>
      <c r="AP140" s="7"/>
      <c r="AQ140" s="7"/>
      <c r="AR140" s="7"/>
    </row>
    <row r="141" spans="1:44" x14ac:dyDescent="0.25">
      <c r="A141" s="9" t="s">
        <v>209</v>
      </c>
      <c r="AN141" s="7"/>
      <c r="AO141" s="7"/>
      <c r="AP141" s="7"/>
      <c r="AQ141" s="7"/>
      <c r="AR141" s="7"/>
    </row>
    <row r="142" spans="1:44" x14ac:dyDescent="0.25">
      <c r="A142" s="9" t="s">
        <v>210</v>
      </c>
      <c r="AN142" s="7"/>
      <c r="AO142" s="7"/>
      <c r="AP142" s="7"/>
      <c r="AQ142" s="7"/>
      <c r="AR142" s="7"/>
    </row>
    <row r="143" spans="1:44" x14ac:dyDescent="0.25">
      <c r="A143" s="9" t="s">
        <v>211</v>
      </c>
      <c r="AN143" s="7"/>
      <c r="AO143" s="7"/>
      <c r="AP143" s="7"/>
      <c r="AQ143" s="7"/>
      <c r="AR143" s="7"/>
    </row>
    <row r="144" spans="1:44" x14ac:dyDescent="0.25">
      <c r="A144" s="9" t="s">
        <v>212</v>
      </c>
      <c r="AN144" s="7"/>
      <c r="AO144" s="7"/>
      <c r="AP144" s="7"/>
      <c r="AQ144" s="7"/>
      <c r="AR144" s="7"/>
    </row>
    <row r="145" spans="1:44" x14ac:dyDescent="0.25">
      <c r="A145" s="9" t="s">
        <v>213</v>
      </c>
      <c r="AN145" s="7"/>
      <c r="AO145" s="7"/>
      <c r="AP145" s="7"/>
      <c r="AQ145" s="7"/>
      <c r="AR145" s="7"/>
    </row>
    <row r="146" spans="1:44" x14ac:dyDescent="0.25">
      <c r="A146" s="9" t="s">
        <v>214</v>
      </c>
      <c r="AN146" s="7"/>
      <c r="AO146" s="7"/>
      <c r="AP146" s="7"/>
      <c r="AQ146" s="7"/>
      <c r="AR146" s="7"/>
    </row>
    <row r="147" spans="1:44" x14ac:dyDescent="0.25">
      <c r="A147" s="9" t="s">
        <v>215</v>
      </c>
      <c r="AN147" s="7"/>
      <c r="AO147" s="7"/>
      <c r="AP147" s="7"/>
      <c r="AQ147" s="7"/>
      <c r="AR147" s="7"/>
    </row>
    <row r="148" spans="1:44" x14ac:dyDescent="0.25">
      <c r="A148" s="9" t="s">
        <v>216</v>
      </c>
      <c r="AN148" s="7"/>
      <c r="AO148" s="7"/>
      <c r="AP148" s="7"/>
      <c r="AQ148" s="7"/>
      <c r="AR148" s="7"/>
    </row>
    <row r="149" spans="1:44" x14ac:dyDescent="0.25">
      <c r="A149" s="9" t="s">
        <v>217</v>
      </c>
      <c r="AN149" s="7"/>
      <c r="AO149" s="7"/>
      <c r="AP149" s="7"/>
      <c r="AQ149" s="7"/>
      <c r="AR149" s="7"/>
    </row>
    <row r="150" spans="1:44" x14ac:dyDescent="0.25">
      <c r="A150" s="9" t="s">
        <v>218</v>
      </c>
      <c r="AN150" s="7"/>
      <c r="AO150" s="7"/>
      <c r="AP150" s="7"/>
      <c r="AQ150" s="7"/>
      <c r="AR150" s="7"/>
    </row>
    <row r="151" spans="1:44" x14ac:dyDescent="0.25">
      <c r="A151" s="9" t="s">
        <v>219</v>
      </c>
      <c r="AN151" s="7"/>
      <c r="AO151" s="7"/>
      <c r="AP151" s="7"/>
      <c r="AQ151" s="7"/>
      <c r="AR151" s="7"/>
    </row>
    <row r="152" spans="1:44" x14ac:dyDescent="0.25">
      <c r="A152" s="9" t="s">
        <v>220</v>
      </c>
      <c r="AN152" s="7"/>
      <c r="AO152" s="7"/>
      <c r="AP152" s="7"/>
      <c r="AQ152" s="7"/>
      <c r="AR152" s="7"/>
    </row>
    <row r="153" spans="1:44" x14ac:dyDescent="0.25">
      <c r="A153" s="9" t="s">
        <v>221</v>
      </c>
      <c r="AN153" s="7"/>
      <c r="AO153" s="7"/>
      <c r="AP153" s="7"/>
      <c r="AQ153" s="7"/>
      <c r="AR153" s="7"/>
    </row>
    <row r="154" spans="1:44" x14ac:dyDescent="0.25">
      <c r="A154" s="9" t="s">
        <v>222</v>
      </c>
      <c r="AN154" s="7"/>
      <c r="AO154" s="7"/>
      <c r="AP154" s="7"/>
      <c r="AQ154" s="7"/>
      <c r="AR154" s="7"/>
    </row>
    <row r="155" spans="1:44" x14ac:dyDescent="0.25">
      <c r="A155" s="9" t="s">
        <v>223</v>
      </c>
      <c r="AN155" s="7"/>
      <c r="AO155" s="7"/>
      <c r="AP155" s="7"/>
      <c r="AQ155" s="7"/>
      <c r="AR155" s="7"/>
    </row>
    <row r="156" spans="1:44" x14ac:dyDescent="0.25">
      <c r="A156" s="9" t="s">
        <v>224</v>
      </c>
      <c r="AN156" s="7"/>
      <c r="AO156" s="7"/>
      <c r="AP156" s="7"/>
      <c r="AQ156" s="7"/>
      <c r="AR156" s="7"/>
    </row>
    <row r="157" spans="1:44" x14ac:dyDescent="0.25">
      <c r="A157" s="9" t="s">
        <v>225</v>
      </c>
      <c r="AN157" s="7"/>
      <c r="AO157" s="7"/>
      <c r="AP157" s="7"/>
      <c r="AQ157" s="7"/>
      <c r="AR157" s="7"/>
    </row>
    <row r="158" spans="1:44" x14ac:dyDescent="0.25">
      <c r="A158" s="9" t="s">
        <v>226</v>
      </c>
      <c r="AN158" s="7"/>
      <c r="AO158" s="7"/>
      <c r="AP158" s="7"/>
      <c r="AQ158" s="7"/>
      <c r="AR158" s="7"/>
    </row>
    <row r="159" spans="1:44" x14ac:dyDescent="0.25">
      <c r="A159" s="9" t="s">
        <v>227</v>
      </c>
      <c r="AN159" s="7"/>
      <c r="AO159" s="7"/>
      <c r="AP159" s="7"/>
      <c r="AQ159" s="7"/>
      <c r="AR159" s="7"/>
    </row>
    <row r="160" spans="1:44" x14ac:dyDescent="0.25">
      <c r="A160" s="9" t="s">
        <v>228</v>
      </c>
      <c r="AN160" s="7"/>
      <c r="AO160" s="7"/>
      <c r="AP160" s="7"/>
      <c r="AQ160" s="7"/>
      <c r="AR160" s="7"/>
    </row>
    <row r="161" spans="1:44" x14ac:dyDescent="0.25">
      <c r="A161" s="9" t="s">
        <v>229</v>
      </c>
      <c r="AN161" s="7"/>
      <c r="AO161" s="7"/>
      <c r="AP161" s="7"/>
      <c r="AQ161" s="7"/>
      <c r="AR161" s="7"/>
    </row>
    <row r="162" spans="1:44" x14ac:dyDescent="0.25">
      <c r="A162" s="9" t="s">
        <v>230</v>
      </c>
      <c r="AN162" s="7"/>
      <c r="AO162" s="7"/>
      <c r="AP162" s="7"/>
      <c r="AQ162" s="7"/>
      <c r="AR162" s="7"/>
    </row>
    <row r="163" spans="1:44" x14ac:dyDescent="0.25">
      <c r="A163" s="9" t="s">
        <v>231</v>
      </c>
      <c r="AN163" s="7"/>
      <c r="AO163" s="7"/>
      <c r="AP163" s="7"/>
      <c r="AQ163" s="7"/>
      <c r="AR163" s="7"/>
    </row>
    <row r="164" spans="1:44" x14ac:dyDescent="0.25">
      <c r="A164" s="9" t="s">
        <v>232</v>
      </c>
      <c r="AN164" s="7"/>
      <c r="AO164" s="7"/>
      <c r="AP164" s="7"/>
      <c r="AQ164" s="7"/>
      <c r="AR164" s="7"/>
    </row>
    <row r="165" spans="1:44" x14ac:dyDescent="0.25">
      <c r="A165" s="9" t="s">
        <v>233</v>
      </c>
      <c r="AN165" s="7"/>
      <c r="AO165" s="7"/>
      <c r="AP165" s="7"/>
      <c r="AQ165" s="7"/>
      <c r="AR165" s="7"/>
    </row>
    <row r="166" spans="1:44" x14ac:dyDescent="0.25">
      <c r="A166" s="9" t="s">
        <v>234</v>
      </c>
      <c r="AN166" s="7"/>
      <c r="AO166" s="7"/>
      <c r="AP166" s="7"/>
      <c r="AQ166" s="7"/>
      <c r="AR166" s="7"/>
    </row>
    <row r="167" spans="1:44" x14ac:dyDescent="0.25">
      <c r="A167" s="9" t="s">
        <v>235</v>
      </c>
      <c r="AN167" s="7"/>
      <c r="AO167" s="7"/>
      <c r="AP167" s="7"/>
      <c r="AQ167" s="7"/>
      <c r="AR167" s="7"/>
    </row>
    <row r="168" spans="1:44" x14ac:dyDescent="0.25">
      <c r="A168" s="9" t="s">
        <v>236</v>
      </c>
      <c r="AN168" s="7"/>
      <c r="AO168" s="7"/>
      <c r="AP168" s="7"/>
      <c r="AQ168" s="7"/>
      <c r="AR168" s="7"/>
    </row>
    <row r="169" spans="1:44" x14ac:dyDescent="0.25">
      <c r="A169" s="9" t="s">
        <v>237</v>
      </c>
      <c r="AN169" s="7"/>
      <c r="AO169" s="7"/>
      <c r="AP169" s="7"/>
      <c r="AQ169" s="7"/>
      <c r="AR169" s="7"/>
    </row>
    <row r="170" spans="1:44" x14ac:dyDescent="0.25">
      <c r="A170" s="9" t="s">
        <v>238</v>
      </c>
      <c r="AN170" s="7"/>
      <c r="AO170" s="7"/>
      <c r="AP170" s="7"/>
      <c r="AQ170" s="7"/>
      <c r="AR170" s="7"/>
    </row>
    <row r="171" spans="1:44" x14ac:dyDescent="0.25">
      <c r="A171" s="9" t="s">
        <v>239</v>
      </c>
      <c r="AN171" s="7"/>
      <c r="AO171" s="7"/>
      <c r="AP171" s="7"/>
      <c r="AQ171" s="7"/>
      <c r="AR171" s="7"/>
    </row>
    <row r="172" spans="1:44" x14ac:dyDescent="0.25">
      <c r="A172" s="9" t="s">
        <v>240</v>
      </c>
      <c r="AN172" s="7"/>
      <c r="AO172" s="7"/>
      <c r="AP172" s="7"/>
      <c r="AQ172" s="7"/>
      <c r="AR172" s="7"/>
    </row>
    <row r="173" spans="1:44" x14ac:dyDescent="0.25">
      <c r="A173" s="9" t="s">
        <v>241</v>
      </c>
      <c r="AN173" s="7"/>
      <c r="AO173" s="7"/>
      <c r="AP173" s="7"/>
      <c r="AQ173" s="7"/>
      <c r="AR173" s="7"/>
    </row>
    <row r="174" spans="1:44" x14ac:dyDescent="0.25">
      <c r="A174" s="9" t="s">
        <v>242</v>
      </c>
      <c r="AN174" s="7"/>
      <c r="AO174" s="7"/>
      <c r="AP174" s="7"/>
      <c r="AQ174" s="7"/>
      <c r="AR174" s="7"/>
    </row>
    <row r="175" spans="1:44" x14ac:dyDescent="0.25">
      <c r="A175" s="9" t="s">
        <v>243</v>
      </c>
      <c r="AN175" s="7"/>
      <c r="AO175" s="7"/>
      <c r="AP175" s="7"/>
      <c r="AQ175" s="7"/>
      <c r="AR175" s="7"/>
    </row>
    <row r="176" spans="1:44" x14ac:dyDescent="0.25">
      <c r="A176" s="9" t="s">
        <v>244</v>
      </c>
      <c r="AN176" s="7"/>
      <c r="AO176" s="7"/>
      <c r="AP176" s="7"/>
      <c r="AQ176" s="7"/>
      <c r="AR176" s="7"/>
    </row>
    <row r="177" spans="1:44" x14ac:dyDescent="0.25">
      <c r="A177" s="9" t="s">
        <v>245</v>
      </c>
      <c r="AN177" s="7"/>
      <c r="AO177" s="7"/>
      <c r="AP177" s="7"/>
      <c r="AQ177" s="7"/>
      <c r="AR177" s="7"/>
    </row>
    <row r="178" spans="1:44" x14ac:dyDescent="0.25">
      <c r="A178" s="9" t="s">
        <v>246</v>
      </c>
      <c r="AN178" s="7"/>
      <c r="AO178" s="7"/>
      <c r="AP178" s="7"/>
      <c r="AQ178" s="7"/>
      <c r="AR178" s="7"/>
    </row>
    <row r="179" spans="1:44" x14ac:dyDescent="0.25">
      <c r="A179" s="9" t="s">
        <v>247</v>
      </c>
      <c r="AN179" s="7"/>
      <c r="AO179" s="7"/>
      <c r="AP179" s="7"/>
      <c r="AQ179" s="7"/>
      <c r="AR179" s="7"/>
    </row>
    <row r="180" spans="1:44" x14ac:dyDescent="0.25">
      <c r="A180" s="9" t="s">
        <v>248</v>
      </c>
      <c r="AN180" s="7"/>
      <c r="AO180" s="7"/>
      <c r="AP180" s="7"/>
      <c r="AQ180" s="7"/>
      <c r="AR180" s="7"/>
    </row>
    <row r="181" spans="1:44" x14ac:dyDescent="0.25">
      <c r="A181" s="9" t="s">
        <v>249</v>
      </c>
      <c r="AN181" s="7"/>
      <c r="AO181" s="7"/>
      <c r="AP181" s="7"/>
      <c r="AQ181" s="7"/>
      <c r="AR181" s="7"/>
    </row>
    <row r="182" spans="1:44" x14ac:dyDescent="0.25">
      <c r="A182" s="9" t="s">
        <v>250</v>
      </c>
      <c r="AN182" s="7"/>
      <c r="AO182" s="7"/>
      <c r="AP182" s="7"/>
      <c r="AQ182" s="7"/>
      <c r="AR182" s="7"/>
    </row>
    <row r="183" spans="1:44" x14ac:dyDescent="0.25">
      <c r="A183" s="9" t="s">
        <v>251</v>
      </c>
      <c r="AN183" s="7"/>
      <c r="AO183" s="7"/>
      <c r="AP183" s="7"/>
      <c r="AQ183" s="7"/>
      <c r="AR183" s="7"/>
    </row>
    <row r="184" spans="1:44" x14ac:dyDescent="0.25">
      <c r="A184" s="9" t="s">
        <v>252</v>
      </c>
      <c r="AN184" s="7"/>
      <c r="AO184" s="7"/>
      <c r="AP184" s="7"/>
      <c r="AQ184" s="7"/>
      <c r="AR184" s="7"/>
    </row>
    <row r="185" spans="1:44" x14ac:dyDescent="0.25">
      <c r="A185" s="9" t="s">
        <v>253</v>
      </c>
      <c r="AN185" s="7"/>
      <c r="AO185" s="7"/>
      <c r="AP185" s="7"/>
      <c r="AQ185" s="7"/>
      <c r="AR185" s="7"/>
    </row>
    <row r="186" spans="1:44" x14ac:dyDescent="0.25">
      <c r="A186" s="9" t="s">
        <v>254</v>
      </c>
      <c r="AN186" s="7"/>
      <c r="AO186" s="7"/>
      <c r="AP186" s="7"/>
      <c r="AQ186" s="7"/>
      <c r="AR186" s="7"/>
    </row>
    <row r="187" spans="1:44" x14ac:dyDescent="0.25">
      <c r="A187" s="9" t="s">
        <v>255</v>
      </c>
      <c r="AN187" s="7"/>
      <c r="AO187" s="7"/>
      <c r="AP187" s="7"/>
      <c r="AQ187" s="7"/>
      <c r="AR187" s="7"/>
    </row>
    <row r="188" spans="1:44" x14ac:dyDescent="0.25">
      <c r="A188" s="9" t="s">
        <v>256</v>
      </c>
      <c r="AN188" s="7"/>
      <c r="AO188" s="7"/>
      <c r="AP188" s="7"/>
      <c r="AQ188" s="7"/>
      <c r="AR188" s="7"/>
    </row>
    <row r="189" spans="1:44" x14ac:dyDescent="0.25">
      <c r="A189" s="9" t="s">
        <v>257</v>
      </c>
      <c r="AN189" s="7"/>
      <c r="AO189" s="7"/>
      <c r="AP189" s="7"/>
      <c r="AQ189" s="7"/>
      <c r="AR189" s="7"/>
    </row>
    <row r="190" spans="1:44" x14ac:dyDescent="0.25">
      <c r="A190" s="9" t="s">
        <v>258</v>
      </c>
      <c r="AN190" s="7"/>
      <c r="AO190" s="7"/>
      <c r="AP190" s="7"/>
      <c r="AQ190" s="7"/>
      <c r="AR190" s="7"/>
    </row>
    <row r="191" spans="1:44" x14ac:dyDescent="0.25">
      <c r="A191" s="9" t="s">
        <v>259</v>
      </c>
      <c r="AN191" s="7"/>
      <c r="AO191" s="7"/>
      <c r="AP191" s="7"/>
      <c r="AQ191" s="7"/>
      <c r="AR191" s="7"/>
    </row>
    <row r="192" spans="1:44" x14ac:dyDescent="0.25">
      <c r="A192" s="9" t="s">
        <v>260</v>
      </c>
      <c r="AN192" s="7"/>
      <c r="AO192" s="7"/>
      <c r="AP192" s="7"/>
      <c r="AQ192" s="7"/>
      <c r="AR192" s="7"/>
    </row>
    <row r="193" spans="1:44" x14ac:dyDescent="0.25">
      <c r="A193" s="9" t="s">
        <v>261</v>
      </c>
      <c r="AN193" s="7"/>
      <c r="AO193" s="7"/>
      <c r="AP193" s="7"/>
      <c r="AQ193" s="7"/>
      <c r="AR193" s="7"/>
    </row>
    <row r="194" spans="1:44" x14ac:dyDescent="0.25">
      <c r="A194" s="9" t="s">
        <v>262</v>
      </c>
      <c r="AN194" s="7"/>
      <c r="AO194" s="7"/>
      <c r="AP194" s="7"/>
      <c r="AQ194" s="7"/>
      <c r="AR194" s="7"/>
    </row>
    <row r="195" spans="1:44" x14ac:dyDescent="0.25">
      <c r="A195" s="9" t="s">
        <v>263</v>
      </c>
      <c r="AN195" s="7"/>
      <c r="AO195" s="7"/>
      <c r="AP195" s="7"/>
      <c r="AQ195" s="7"/>
      <c r="AR195" s="7"/>
    </row>
    <row r="196" spans="1:44" x14ac:dyDescent="0.25">
      <c r="A196" s="9" t="s">
        <v>264</v>
      </c>
      <c r="AN196" s="7"/>
      <c r="AO196" s="7"/>
      <c r="AP196" s="7"/>
      <c r="AQ196" s="7"/>
      <c r="AR196" s="7"/>
    </row>
    <row r="197" spans="1:44" x14ac:dyDescent="0.25">
      <c r="A197" s="9" t="s">
        <v>265</v>
      </c>
      <c r="AN197" s="7"/>
      <c r="AO197" s="7"/>
      <c r="AP197" s="7"/>
      <c r="AQ197" s="7"/>
      <c r="AR197" s="7"/>
    </row>
    <row r="198" spans="1:44" x14ac:dyDescent="0.25">
      <c r="A198" s="9" t="s">
        <v>266</v>
      </c>
      <c r="AN198" s="7"/>
      <c r="AO198" s="7"/>
      <c r="AP198" s="7"/>
      <c r="AQ198" s="7"/>
      <c r="AR198" s="7"/>
    </row>
    <row r="199" spans="1:44" x14ac:dyDescent="0.25">
      <c r="A199" s="9" t="s">
        <v>267</v>
      </c>
      <c r="AN199" s="7"/>
      <c r="AO199" s="7"/>
      <c r="AP199" s="7"/>
      <c r="AQ199" s="7"/>
      <c r="AR199" s="7"/>
    </row>
    <row r="200" spans="1:44" x14ac:dyDescent="0.25">
      <c r="A200" s="9" t="s">
        <v>268</v>
      </c>
      <c r="AN200" s="7"/>
      <c r="AO200" s="7"/>
      <c r="AP200" s="7"/>
      <c r="AQ200" s="7"/>
      <c r="AR200" s="7"/>
    </row>
    <row r="201" spans="1:44" x14ac:dyDescent="0.25">
      <c r="A201" s="9" t="s">
        <v>269</v>
      </c>
      <c r="AN201" s="7"/>
      <c r="AO201" s="7"/>
      <c r="AP201" s="7"/>
      <c r="AQ201" s="7"/>
      <c r="AR201" s="7"/>
    </row>
    <row r="202" spans="1:44" x14ac:dyDescent="0.25">
      <c r="A202" s="9" t="s">
        <v>270</v>
      </c>
      <c r="AN202" s="7"/>
      <c r="AO202" s="7"/>
      <c r="AP202" s="7"/>
      <c r="AQ202" s="7"/>
      <c r="AR202" s="7"/>
    </row>
    <row r="203" spans="1:44" x14ac:dyDescent="0.25">
      <c r="A203" s="9" t="s">
        <v>271</v>
      </c>
      <c r="AN203" s="7"/>
      <c r="AO203" s="7"/>
      <c r="AP203" s="7"/>
      <c r="AQ203" s="7"/>
      <c r="AR203" s="7"/>
    </row>
    <row r="204" spans="1:44" x14ac:dyDescent="0.25">
      <c r="A204" s="9" t="s">
        <v>272</v>
      </c>
      <c r="AN204" s="7"/>
      <c r="AO204" s="7"/>
      <c r="AP204" s="7"/>
      <c r="AQ204" s="7"/>
      <c r="AR204" s="7"/>
    </row>
    <row r="205" spans="1:44" x14ac:dyDescent="0.25">
      <c r="A205" s="9" t="s">
        <v>273</v>
      </c>
      <c r="AN205" s="7"/>
      <c r="AO205" s="7"/>
      <c r="AP205" s="7"/>
      <c r="AQ205" s="7"/>
      <c r="AR205" s="7"/>
    </row>
    <row r="206" spans="1:44" x14ac:dyDescent="0.25">
      <c r="A206" s="9" t="s">
        <v>274</v>
      </c>
      <c r="AN206" s="7"/>
      <c r="AO206" s="7"/>
      <c r="AP206" s="7"/>
      <c r="AQ206" s="7"/>
      <c r="AR206" s="7"/>
    </row>
    <row r="207" spans="1:44" x14ac:dyDescent="0.25">
      <c r="A207" s="9" t="s">
        <v>275</v>
      </c>
      <c r="AN207" s="7"/>
      <c r="AO207" s="7"/>
      <c r="AP207" s="7"/>
      <c r="AQ207" s="7"/>
      <c r="AR207" s="7"/>
    </row>
    <row r="208" spans="1:44" x14ac:dyDescent="0.25">
      <c r="A208" s="9" t="s">
        <v>276</v>
      </c>
      <c r="AN208" s="7"/>
      <c r="AO208" s="7"/>
      <c r="AP208" s="7"/>
      <c r="AQ208" s="7"/>
      <c r="AR208" s="7"/>
    </row>
    <row r="209" spans="1:44" x14ac:dyDescent="0.25">
      <c r="A209" s="9" t="s">
        <v>277</v>
      </c>
      <c r="AN209" s="7"/>
      <c r="AO209" s="7"/>
      <c r="AP209" s="7"/>
      <c r="AQ209" s="7"/>
      <c r="AR209" s="7"/>
    </row>
    <row r="210" spans="1:44" x14ac:dyDescent="0.25">
      <c r="A210" s="9" t="s">
        <v>278</v>
      </c>
      <c r="AN210" s="7"/>
      <c r="AO210" s="7"/>
      <c r="AP210" s="7"/>
      <c r="AQ210" s="7"/>
      <c r="AR210" s="7"/>
    </row>
    <row r="211" spans="1:44" x14ac:dyDescent="0.25">
      <c r="A211" s="9" t="s">
        <v>279</v>
      </c>
      <c r="AN211" s="7"/>
      <c r="AO211" s="7"/>
      <c r="AP211" s="7"/>
      <c r="AQ211" s="7"/>
      <c r="AR211" s="7"/>
    </row>
    <row r="212" spans="1:44" x14ac:dyDescent="0.25">
      <c r="A212" s="9" t="s">
        <v>280</v>
      </c>
      <c r="AN212" s="7"/>
      <c r="AO212" s="7"/>
      <c r="AP212" s="7"/>
      <c r="AQ212" s="7"/>
      <c r="AR212" s="7"/>
    </row>
    <row r="213" spans="1:44" x14ac:dyDescent="0.25">
      <c r="A213" s="9" t="s">
        <v>281</v>
      </c>
      <c r="AN213" s="7"/>
      <c r="AO213" s="7"/>
      <c r="AP213" s="7"/>
      <c r="AQ213" s="7"/>
      <c r="AR213" s="7"/>
    </row>
    <row r="214" spans="1:44" x14ac:dyDescent="0.25">
      <c r="A214" s="9" t="s">
        <v>282</v>
      </c>
      <c r="AN214" s="7"/>
      <c r="AO214" s="7"/>
      <c r="AP214" s="7"/>
      <c r="AQ214" s="7"/>
      <c r="AR214" s="7"/>
    </row>
    <row r="215" spans="1:44" x14ac:dyDescent="0.25">
      <c r="A215" s="9" t="s">
        <v>283</v>
      </c>
      <c r="AN215" s="7"/>
      <c r="AO215" s="7"/>
      <c r="AP215" s="7"/>
      <c r="AQ215" s="7"/>
      <c r="AR215" s="7"/>
    </row>
    <row r="216" spans="1:44" x14ac:dyDescent="0.25">
      <c r="A216" s="9" t="s">
        <v>284</v>
      </c>
      <c r="AN216" s="7"/>
      <c r="AO216" s="7"/>
      <c r="AP216" s="7"/>
      <c r="AQ216" s="7"/>
      <c r="AR216" s="7"/>
    </row>
    <row r="217" spans="1:44" x14ac:dyDescent="0.25">
      <c r="A217" s="9" t="s">
        <v>285</v>
      </c>
      <c r="AN217" s="7"/>
      <c r="AO217" s="7"/>
      <c r="AP217" s="7"/>
      <c r="AQ217" s="7"/>
      <c r="AR217" s="7"/>
    </row>
    <row r="218" spans="1:44" x14ac:dyDescent="0.25">
      <c r="A218" s="9" t="s">
        <v>286</v>
      </c>
      <c r="AN218" s="7"/>
      <c r="AO218" s="7"/>
      <c r="AP218" s="7"/>
      <c r="AQ218" s="7"/>
      <c r="AR218" s="7"/>
    </row>
    <row r="219" spans="1:44" x14ac:dyDescent="0.25">
      <c r="A219" s="9" t="s">
        <v>287</v>
      </c>
      <c r="AN219" s="7"/>
      <c r="AO219" s="7"/>
      <c r="AP219" s="7"/>
      <c r="AQ219" s="7"/>
      <c r="AR219" s="7"/>
    </row>
    <row r="220" spans="1:44" x14ac:dyDescent="0.25">
      <c r="A220" s="9" t="s">
        <v>288</v>
      </c>
      <c r="AN220" s="7"/>
      <c r="AO220" s="7"/>
      <c r="AP220" s="7"/>
      <c r="AQ220" s="7"/>
      <c r="AR220" s="7"/>
    </row>
    <row r="221" spans="1:44" x14ac:dyDescent="0.25">
      <c r="A221" s="9" t="s">
        <v>289</v>
      </c>
      <c r="AN221" s="7"/>
      <c r="AO221" s="7"/>
      <c r="AP221" s="7"/>
      <c r="AQ221" s="7"/>
      <c r="AR221" s="7"/>
    </row>
    <row r="222" spans="1:44" x14ac:dyDescent="0.25">
      <c r="A222" s="9" t="s">
        <v>290</v>
      </c>
      <c r="AN222" s="7"/>
      <c r="AO222" s="7"/>
      <c r="AP222" s="7"/>
      <c r="AQ222" s="7"/>
      <c r="AR222" s="7"/>
    </row>
    <row r="223" spans="1:44" x14ac:dyDescent="0.25">
      <c r="A223" s="9" t="s">
        <v>291</v>
      </c>
      <c r="AN223" s="7"/>
      <c r="AO223" s="7"/>
      <c r="AP223" s="7"/>
      <c r="AQ223" s="7"/>
      <c r="AR223" s="7"/>
    </row>
    <row r="224" spans="1:44" x14ac:dyDescent="0.25">
      <c r="A224" s="9" t="s">
        <v>292</v>
      </c>
      <c r="AN224" s="7"/>
      <c r="AO224" s="7"/>
      <c r="AP224" s="7"/>
      <c r="AQ224" s="7"/>
      <c r="AR224" s="7"/>
    </row>
    <row r="225" spans="1:44" x14ac:dyDescent="0.25">
      <c r="A225" s="9" t="s">
        <v>293</v>
      </c>
      <c r="AN225" s="7"/>
      <c r="AO225" s="7"/>
      <c r="AP225" s="7"/>
      <c r="AQ225" s="7"/>
      <c r="AR225" s="7"/>
    </row>
    <row r="226" spans="1:44" x14ac:dyDescent="0.25">
      <c r="A226" s="9" t="s">
        <v>294</v>
      </c>
      <c r="AN226" s="7"/>
      <c r="AO226" s="7"/>
      <c r="AP226" s="7"/>
      <c r="AQ226" s="7"/>
      <c r="AR226" s="7"/>
    </row>
    <row r="227" spans="1:44" x14ac:dyDescent="0.25">
      <c r="A227" s="9" t="s">
        <v>295</v>
      </c>
      <c r="AN227" s="7"/>
      <c r="AO227" s="7"/>
      <c r="AP227" s="7"/>
      <c r="AQ227" s="7"/>
      <c r="AR227" s="7"/>
    </row>
    <row r="228" spans="1:44" x14ac:dyDescent="0.25">
      <c r="A228" s="9" t="s">
        <v>296</v>
      </c>
      <c r="AN228" s="7"/>
      <c r="AO228" s="7"/>
      <c r="AP228" s="7"/>
      <c r="AQ228" s="7"/>
      <c r="AR228" s="7"/>
    </row>
    <row r="229" spans="1:44" x14ac:dyDescent="0.25">
      <c r="A229" s="9" t="s">
        <v>297</v>
      </c>
      <c r="AN229" s="7"/>
      <c r="AO229" s="7"/>
      <c r="AP229" s="7"/>
      <c r="AQ229" s="7"/>
      <c r="AR229" s="7"/>
    </row>
    <row r="230" spans="1:44" x14ac:dyDescent="0.25">
      <c r="A230" s="9" t="s">
        <v>298</v>
      </c>
      <c r="AN230" s="7"/>
      <c r="AO230" s="7"/>
      <c r="AP230" s="7"/>
      <c r="AQ230" s="7"/>
      <c r="AR230" s="7"/>
    </row>
    <row r="231" spans="1:44" x14ac:dyDescent="0.25">
      <c r="A231" s="9" t="s">
        <v>299</v>
      </c>
      <c r="AN231" s="7"/>
      <c r="AO231" s="7"/>
      <c r="AP231" s="7"/>
      <c r="AQ231" s="7"/>
      <c r="AR231" s="7"/>
    </row>
    <row r="232" spans="1:44" x14ac:dyDescent="0.25">
      <c r="A232" s="9" t="s">
        <v>300</v>
      </c>
      <c r="AN232" s="7"/>
      <c r="AO232" s="7"/>
      <c r="AP232" s="7"/>
      <c r="AQ232" s="7"/>
      <c r="AR232" s="7"/>
    </row>
    <row r="233" spans="1:44" x14ac:dyDescent="0.25">
      <c r="A233" s="9" t="s">
        <v>301</v>
      </c>
      <c r="AN233" s="7"/>
      <c r="AO233" s="7"/>
      <c r="AP233" s="7"/>
      <c r="AQ233" s="7"/>
      <c r="AR233" s="7"/>
    </row>
    <row r="234" spans="1:44" x14ac:dyDescent="0.25">
      <c r="A234" s="9" t="s">
        <v>302</v>
      </c>
      <c r="AN234" s="7"/>
      <c r="AO234" s="7"/>
      <c r="AP234" s="7"/>
      <c r="AQ234" s="7"/>
      <c r="AR234" s="7"/>
    </row>
    <row r="235" spans="1:44" x14ac:dyDescent="0.25">
      <c r="A235" s="9" t="s">
        <v>303</v>
      </c>
      <c r="AN235" s="7"/>
      <c r="AO235" s="7"/>
      <c r="AP235" s="7"/>
      <c r="AQ235" s="7"/>
      <c r="AR235" s="7"/>
    </row>
    <row r="236" spans="1:44" x14ac:dyDescent="0.25">
      <c r="A236" s="9" t="s">
        <v>304</v>
      </c>
      <c r="AN236" s="7"/>
      <c r="AO236" s="7"/>
      <c r="AP236" s="7"/>
      <c r="AQ236" s="7"/>
      <c r="AR236" s="7"/>
    </row>
    <row r="237" spans="1:44" x14ac:dyDescent="0.25">
      <c r="A237" s="9" t="s">
        <v>305</v>
      </c>
      <c r="AN237" s="7"/>
      <c r="AO237" s="7"/>
      <c r="AP237" s="7"/>
      <c r="AQ237" s="7"/>
      <c r="AR237" s="7"/>
    </row>
    <row r="238" spans="1:44" x14ac:dyDescent="0.25">
      <c r="A238" s="9" t="s">
        <v>306</v>
      </c>
      <c r="AN238" s="7"/>
      <c r="AO238" s="7"/>
      <c r="AP238" s="7"/>
      <c r="AQ238" s="7"/>
      <c r="AR238" s="7"/>
    </row>
    <row r="239" spans="1:44" x14ac:dyDescent="0.25">
      <c r="A239" s="9" t="s">
        <v>307</v>
      </c>
      <c r="AN239" s="7"/>
      <c r="AO239" s="7"/>
      <c r="AP239" s="7"/>
      <c r="AQ239" s="7"/>
      <c r="AR239" s="7"/>
    </row>
    <row r="240" spans="1:44" x14ac:dyDescent="0.25">
      <c r="A240" s="9" t="s">
        <v>308</v>
      </c>
      <c r="AN240" s="7"/>
      <c r="AO240" s="7"/>
      <c r="AP240" s="7"/>
      <c r="AQ240" s="7"/>
      <c r="AR240" s="7"/>
    </row>
    <row r="241" spans="1:44" x14ac:dyDescent="0.25">
      <c r="A241" s="9" t="s">
        <v>309</v>
      </c>
      <c r="AN241" s="7"/>
      <c r="AO241" s="7"/>
      <c r="AP241" s="7"/>
      <c r="AQ241" s="7"/>
      <c r="AR241" s="7"/>
    </row>
    <row r="242" spans="1:44" x14ac:dyDescent="0.25">
      <c r="A242" s="9" t="s">
        <v>310</v>
      </c>
      <c r="AN242" s="7"/>
      <c r="AO242" s="7"/>
      <c r="AP242" s="7"/>
      <c r="AQ242" s="7"/>
      <c r="AR242" s="7"/>
    </row>
    <row r="243" spans="1:44" x14ac:dyDescent="0.25">
      <c r="A243" s="9" t="s">
        <v>311</v>
      </c>
      <c r="AN243" s="7"/>
      <c r="AO243" s="7"/>
      <c r="AP243" s="7"/>
      <c r="AQ243" s="7"/>
      <c r="AR243" s="7"/>
    </row>
    <row r="244" spans="1:44" x14ac:dyDescent="0.25">
      <c r="A244" s="9" t="s">
        <v>312</v>
      </c>
      <c r="AN244" s="7"/>
      <c r="AO244" s="7"/>
      <c r="AP244" s="7"/>
      <c r="AQ244" s="7"/>
      <c r="AR244" s="7"/>
    </row>
    <row r="245" spans="1:44" x14ac:dyDescent="0.25">
      <c r="A245" s="9" t="s">
        <v>313</v>
      </c>
      <c r="AN245" s="7"/>
      <c r="AO245" s="7"/>
      <c r="AP245" s="7"/>
      <c r="AQ245" s="7"/>
      <c r="AR245" s="7"/>
    </row>
    <row r="246" spans="1:44" x14ac:dyDescent="0.25">
      <c r="A246" s="9" t="s">
        <v>314</v>
      </c>
      <c r="AN246" s="7"/>
      <c r="AO246" s="7"/>
      <c r="AP246" s="7"/>
      <c r="AQ246" s="7"/>
      <c r="AR246" s="7"/>
    </row>
    <row r="247" spans="1:44" x14ac:dyDescent="0.25">
      <c r="A247" s="9" t="s">
        <v>315</v>
      </c>
      <c r="AN247" s="7"/>
      <c r="AO247" s="7"/>
      <c r="AP247" s="7"/>
      <c r="AQ247" s="7"/>
      <c r="AR247" s="7"/>
    </row>
    <row r="248" spans="1:44" x14ac:dyDescent="0.25">
      <c r="A248" s="9" t="s">
        <v>316</v>
      </c>
      <c r="AN248" s="7"/>
      <c r="AO248" s="7"/>
      <c r="AP248" s="7"/>
      <c r="AQ248" s="7"/>
      <c r="AR248" s="7"/>
    </row>
    <row r="249" spans="1:44" x14ac:dyDescent="0.25">
      <c r="A249" s="9" t="s">
        <v>317</v>
      </c>
      <c r="AN249" s="7"/>
      <c r="AO249" s="7"/>
      <c r="AP249" s="7"/>
      <c r="AQ249" s="7"/>
      <c r="AR249" s="7"/>
    </row>
    <row r="250" spans="1:44" x14ac:dyDescent="0.25">
      <c r="A250" s="9" t="s">
        <v>318</v>
      </c>
      <c r="AN250" s="7"/>
      <c r="AO250" s="7"/>
      <c r="AP250" s="7"/>
      <c r="AQ250" s="7"/>
      <c r="AR250" s="7"/>
    </row>
    <row r="251" spans="1:44" x14ac:dyDescent="0.25">
      <c r="A251" s="9" t="s">
        <v>319</v>
      </c>
      <c r="AN251" s="7"/>
      <c r="AO251" s="7"/>
      <c r="AP251" s="7"/>
      <c r="AQ251" s="7"/>
      <c r="AR251" s="7"/>
    </row>
    <row r="252" spans="1:44" x14ac:dyDescent="0.25">
      <c r="A252" s="9" t="s">
        <v>320</v>
      </c>
      <c r="AN252" s="7"/>
      <c r="AO252" s="7"/>
      <c r="AP252" s="7"/>
      <c r="AQ252" s="7"/>
      <c r="AR252" s="7"/>
    </row>
    <row r="253" spans="1:44" x14ac:dyDescent="0.25">
      <c r="A253" s="9" t="s">
        <v>321</v>
      </c>
      <c r="AN253" s="7"/>
      <c r="AO253" s="7"/>
      <c r="AP253" s="7"/>
      <c r="AQ253" s="7"/>
      <c r="AR253" s="7"/>
    </row>
    <row r="254" spans="1:44" x14ac:dyDescent="0.25">
      <c r="A254" s="9" t="s">
        <v>322</v>
      </c>
      <c r="AN254" s="7"/>
      <c r="AO254" s="7"/>
      <c r="AP254" s="7"/>
      <c r="AQ254" s="7"/>
      <c r="AR254" s="7"/>
    </row>
    <row r="255" spans="1:44" x14ac:dyDescent="0.25">
      <c r="A255" s="9" t="s">
        <v>323</v>
      </c>
      <c r="AN255" s="7"/>
      <c r="AO255" s="7"/>
      <c r="AP255" s="7"/>
      <c r="AQ255" s="7"/>
      <c r="AR255" s="7"/>
    </row>
    <row r="256" spans="1:44" x14ac:dyDescent="0.25">
      <c r="A256" s="9" t="s">
        <v>324</v>
      </c>
      <c r="AN256" s="7"/>
      <c r="AO256" s="7"/>
      <c r="AP256" s="7"/>
      <c r="AQ256" s="7"/>
      <c r="AR256" s="7"/>
    </row>
    <row r="257" spans="1:44" x14ac:dyDescent="0.25">
      <c r="A257" s="9" t="s">
        <v>325</v>
      </c>
      <c r="AN257" s="7"/>
      <c r="AO257" s="7"/>
      <c r="AP257" s="7"/>
      <c r="AQ257" s="7"/>
      <c r="AR257" s="7"/>
    </row>
    <row r="258" spans="1:44" x14ac:dyDescent="0.25">
      <c r="A258" s="9" t="s">
        <v>326</v>
      </c>
      <c r="AN258" s="7"/>
      <c r="AO258" s="7"/>
      <c r="AP258" s="7"/>
      <c r="AQ258" s="7"/>
      <c r="AR258" s="7"/>
    </row>
    <row r="259" spans="1:44" x14ac:dyDescent="0.25">
      <c r="A259" s="9" t="s">
        <v>327</v>
      </c>
      <c r="AN259" s="7"/>
      <c r="AO259" s="7"/>
      <c r="AP259" s="7"/>
      <c r="AQ259" s="7"/>
      <c r="AR259" s="7"/>
    </row>
    <row r="260" spans="1:44" x14ac:dyDescent="0.25">
      <c r="A260" s="9" t="s">
        <v>328</v>
      </c>
      <c r="AN260" s="7"/>
      <c r="AO260" s="7"/>
      <c r="AP260" s="7"/>
      <c r="AQ260" s="7"/>
      <c r="AR260" s="7"/>
    </row>
    <row r="261" spans="1:44" x14ac:dyDescent="0.25">
      <c r="A261" s="9" t="s">
        <v>329</v>
      </c>
      <c r="AN261" s="7"/>
      <c r="AO261" s="7"/>
      <c r="AP261" s="7"/>
      <c r="AQ261" s="7"/>
      <c r="AR261" s="7"/>
    </row>
    <row r="262" spans="1:44" x14ac:dyDescent="0.25">
      <c r="A262" s="9" t="s">
        <v>330</v>
      </c>
      <c r="AN262" s="7"/>
      <c r="AO262" s="7"/>
      <c r="AP262" s="7"/>
      <c r="AQ262" s="7"/>
      <c r="AR262" s="7"/>
    </row>
    <row r="263" spans="1:44" x14ac:dyDescent="0.25">
      <c r="A263" s="9" t="s">
        <v>331</v>
      </c>
      <c r="AN263" s="7"/>
      <c r="AO263" s="7"/>
      <c r="AP263" s="7"/>
      <c r="AQ263" s="7"/>
      <c r="AR263" s="7"/>
    </row>
    <row r="264" spans="1:44" x14ac:dyDescent="0.25">
      <c r="A264" s="9" t="s">
        <v>332</v>
      </c>
      <c r="AN264" s="7"/>
      <c r="AO264" s="7"/>
      <c r="AP264" s="7"/>
      <c r="AQ264" s="7"/>
      <c r="AR264" s="7"/>
    </row>
    <row r="265" spans="1:44" x14ac:dyDescent="0.25">
      <c r="A265" s="9" t="s">
        <v>333</v>
      </c>
      <c r="AN265" s="7"/>
      <c r="AO265" s="7"/>
      <c r="AP265" s="7"/>
      <c r="AQ265" s="7"/>
      <c r="AR265" s="7"/>
    </row>
    <row r="266" spans="1:44" x14ac:dyDescent="0.25">
      <c r="A266" s="9" t="s">
        <v>334</v>
      </c>
      <c r="AN266" s="7"/>
      <c r="AO266" s="7"/>
      <c r="AP266" s="7"/>
      <c r="AQ266" s="7"/>
      <c r="AR266" s="7"/>
    </row>
    <row r="267" spans="1:44" x14ac:dyDescent="0.25">
      <c r="A267" s="9" t="s">
        <v>335</v>
      </c>
      <c r="AN267" s="7"/>
      <c r="AO267" s="7"/>
      <c r="AP267" s="7"/>
      <c r="AQ267" s="7"/>
      <c r="AR267" s="7"/>
    </row>
    <row r="268" spans="1:44" x14ac:dyDescent="0.25">
      <c r="A268" s="9" t="s">
        <v>336</v>
      </c>
      <c r="AN268" s="7"/>
      <c r="AO268" s="7"/>
      <c r="AP268" s="7"/>
      <c r="AQ268" s="7"/>
      <c r="AR268" s="7"/>
    </row>
    <row r="269" spans="1:44" x14ac:dyDescent="0.25">
      <c r="A269" s="9" t="s">
        <v>337</v>
      </c>
      <c r="AN269" s="7"/>
      <c r="AO269" s="7"/>
      <c r="AP269" s="7"/>
      <c r="AQ269" s="7"/>
      <c r="AR269" s="7"/>
    </row>
    <row r="270" spans="1:44" x14ac:dyDescent="0.25">
      <c r="A270" s="9" t="s">
        <v>338</v>
      </c>
      <c r="AN270" s="7"/>
      <c r="AO270" s="7"/>
      <c r="AP270" s="7"/>
      <c r="AQ270" s="7"/>
      <c r="AR270" s="7"/>
    </row>
    <row r="271" spans="1:44" x14ac:dyDescent="0.25">
      <c r="A271" s="9" t="s">
        <v>339</v>
      </c>
      <c r="AN271" s="7"/>
      <c r="AO271" s="7"/>
      <c r="AP271" s="7"/>
      <c r="AQ271" s="7"/>
      <c r="AR271" s="7"/>
    </row>
    <row r="272" spans="1:44" x14ac:dyDescent="0.25">
      <c r="A272" s="9" t="s">
        <v>340</v>
      </c>
      <c r="AN272" s="7"/>
      <c r="AO272" s="7"/>
      <c r="AP272" s="7"/>
      <c r="AQ272" s="7"/>
      <c r="AR272" s="7"/>
    </row>
    <row r="273" spans="1:44" x14ac:dyDescent="0.25">
      <c r="A273" s="9" t="s">
        <v>341</v>
      </c>
      <c r="AN273" s="7"/>
      <c r="AO273" s="7"/>
      <c r="AP273" s="7"/>
      <c r="AQ273" s="7"/>
      <c r="AR273" s="7"/>
    </row>
    <row r="274" spans="1:44" x14ac:dyDescent="0.25">
      <c r="A274" s="9" t="s">
        <v>342</v>
      </c>
      <c r="AN274" s="7"/>
      <c r="AO274" s="7"/>
      <c r="AP274" s="7"/>
      <c r="AQ274" s="7"/>
      <c r="AR274" s="7"/>
    </row>
    <row r="275" spans="1:44" x14ac:dyDescent="0.25">
      <c r="A275" s="9" t="s">
        <v>343</v>
      </c>
      <c r="AN275" s="7"/>
      <c r="AO275" s="7"/>
      <c r="AP275" s="7"/>
      <c r="AQ275" s="7"/>
      <c r="AR275" s="7"/>
    </row>
    <row r="276" spans="1:44" x14ac:dyDescent="0.25">
      <c r="A276" s="9" t="s">
        <v>344</v>
      </c>
      <c r="AN276" s="7"/>
      <c r="AO276" s="7"/>
      <c r="AP276" s="7"/>
      <c r="AQ276" s="7"/>
      <c r="AR276" s="7"/>
    </row>
    <row r="277" spans="1:44" x14ac:dyDescent="0.25">
      <c r="A277" s="9" t="s">
        <v>345</v>
      </c>
      <c r="AN277" s="7"/>
      <c r="AO277" s="7"/>
      <c r="AP277" s="7"/>
      <c r="AQ277" s="7"/>
      <c r="AR277" s="7"/>
    </row>
    <row r="278" spans="1:44" x14ac:dyDescent="0.25">
      <c r="A278" s="9" t="s">
        <v>346</v>
      </c>
      <c r="AN278" s="7"/>
      <c r="AO278" s="7"/>
      <c r="AP278" s="7"/>
      <c r="AQ278" s="7"/>
      <c r="AR278" s="7"/>
    </row>
    <row r="279" spans="1:44" x14ac:dyDescent="0.25">
      <c r="A279" s="9" t="s">
        <v>347</v>
      </c>
      <c r="AN279" s="7"/>
      <c r="AO279" s="7"/>
      <c r="AP279" s="7"/>
      <c r="AQ279" s="7"/>
      <c r="AR279" s="7"/>
    </row>
    <row r="280" spans="1:44" x14ac:dyDescent="0.25">
      <c r="A280" s="9" t="s">
        <v>348</v>
      </c>
      <c r="AN280" s="7"/>
      <c r="AO280" s="7"/>
      <c r="AP280" s="7"/>
      <c r="AQ280" s="7"/>
      <c r="AR280" s="7"/>
    </row>
    <row r="281" spans="1:44" x14ac:dyDescent="0.25">
      <c r="A281" s="9" t="s">
        <v>349</v>
      </c>
      <c r="AN281" s="7"/>
      <c r="AO281" s="7"/>
      <c r="AP281" s="7"/>
      <c r="AQ281" s="7"/>
      <c r="AR281" s="7"/>
    </row>
    <row r="282" spans="1:44" x14ac:dyDescent="0.25">
      <c r="A282" s="9" t="s">
        <v>350</v>
      </c>
      <c r="AN282" s="7"/>
      <c r="AO282" s="7"/>
      <c r="AP282" s="7"/>
      <c r="AQ282" s="7"/>
      <c r="AR282" s="7"/>
    </row>
    <row r="283" spans="1:44" x14ac:dyDescent="0.25">
      <c r="A283" s="9" t="s">
        <v>351</v>
      </c>
      <c r="AN283" s="7"/>
      <c r="AO283" s="7"/>
      <c r="AP283" s="7"/>
      <c r="AQ283" s="7"/>
      <c r="AR283" s="7"/>
    </row>
    <row r="284" spans="1:44" x14ac:dyDescent="0.25">
      <c r="A284" s="9" t="s">
        <v>352</v>
      </c>
      <c r="AN284" s="7"/>
      <c r="AO284" s="7"/>
      <c r="AP284" s="7"/>
      <c r="AQ284" s="7"/>
      <c r="AR284" s="7"/>
    </row>
    <row r="285" spans="1:44" x14ac:dyDescent="0.25">
      <c r="A285" s="9" t="s">
        <v>353</v>
      </c>
      <c r="AN285" s="7"/>
      <c r="AO285" s="7"/>
      <c r="AP285" s="7"/>
      <c r="AQ285" s="7"/>
      <c r="AR285" s="7"/>
    </row>
    <row r="286" spans="1:44" x14ac:dyDescent="0.25">
      <c r="A286" s="9" t="s">
        <v>354</v>
      </c>
      <c r="AN286" s="7"/>
      <c r="AO286" s="7"/>
      <c r="AP286" s="7"/>
      <c r="AQ286" s="7"/>
      <c r="AR286" s="7"/>
    </row>
    <row r="287" spans="1:44" x14ac:dyDescent="0.25">
      <c r="A287" s="9" t="s">
        <v>355</v>
      </c>
      <c r="AN287" s="7"/>
      <c r="AO287" s="7"/>
      <c r="AP287" s="7"/>
      <c r="AQ287" s="7"/>
      <c r="AR287" s="7"/>
    </row>
    <row r="288" spans="1:44" x14ac:dyDescent="0.25">
      <c r="A288" s="9" t="s">
        <v>356</v>
      </c>
      <c r="AN288" s="7"/>
      <c r="AO288" s="7"/>
      <c r="AP288" s="7"/>
      <c r="AQ288" s="7"/>
      <c r="AR288" s="7"/>
    </row>
    <row r="289" spans="1:44" x14ac:dyDescent="0.25">
      <c r="A289" s="9" t="s">
        <v>357</v>
      </c>
      <c r="AN289" s="7"/>
      <c r="AO289" s="7"/>
      <c r="AP289" s="7"/>
      <c r="AQ289" s="7"/>
      <c r="AR289" s="7"/>
    </row>
    <row r="290" spans="1:44" x14ac:dyDescent="0.25">
      <c r="A290" s="9" t="s">
        <v>358</v>
      </c>
      <c r="AN290" s="7"/>
      <c r="AO290" s="7"/>
      <c r="AP290" s="7"/>
      <c r="AQ290" s="7"/>
      <c r="AR290" s="7"/>
    </row>
    <row r="291" spans="1:44" x14ac:dyDescent="0.25">
      <c r="A291" s="9" t="s">
        <v>359</v>
      </c>
      <c r="AN291" s="7"/>
      <c r="AO291" s="7"/>
      <c r="AP291" s="7"/>
      <c r="AQ291" s="7"/>
      <c r="AR291" s="7"/>
    </row>
    <row r="292" spans="1:44" x14ac:dyDescent="0.25">
      <c r="A292" s="9" t="s">
        <v>360</v>
      </c>
      <c r="AN292" s="7"/>
      <c r="AO292" s="7"/>
      <c r="AP292" s="7"/>
      <c r="AQ292" s="7"/>
      <c r="AR292" s="7"/>
    </row>
    <row r="293" spans="1:44" x14ac:dyDescent="0.25">
      <c r="A293" s="9" t="s">
        <v>361</v>
      </c>
      <c r="AN293" s="7"/>
      <c r="AO293" s="7"/>
      <c r="AP293" s="7"/>
      <c r="AQ293" s="7"/>
      <c r="AR293" s="7"/>
    </row>
    <row r="294" spans="1:44" x14ac:dyDescent="0.25">
      <c r="A294" s="9" t="s">
        <v>362</v>
      </c>
      <c r="AN294" s="7"/>
      <c r="AO294" s="7"/>
      <c r="AP294" s="7"/>
      <c r="AQ294" s="7"/>
      <c r="AR294" s="7"/>
    </row>
    <row r="295" spans="1:44" x14ac:dyDescent="0.25">
      <c r="A295" s="9" t="s">
        <v>363</v>
      </c>
      <c r="AN295" s="7"/>
      <c r="AO295" s="7"/>
      <c r="AP295" s="7"/>
      <c r="AQ295" s="7"/>
      <c r="AR295" s="7"/>
    </row>
    <row r="296" spans="1:44" x14ac:dyDescent="0.25">
      <c r="A296" s="9" t="s">
        <v>364</v>
      </c>
      <c r="AN296" s="7"/>
      <c r="AO296" s="7"/>
      <c r="AP296" s="7"/>
      <c r="AQ296" s="7"/>
      <c r="AR296" s="7"/>
    </row>
    <row r="297" spans="1:44" x14ac:dyDescent="0.25">
      <c r="A297" s="9" t="s">
        <v>365</v>
      </c>
      <c r="AN297" s="7"/>
      <c r="AO297" s="7"/>
      <c r="AP297" s="7"/>
      <c r="AQ297" s="7"/>
      <c r="AR297" s="7"/>
    </row>
    <row r="298" spans="1:44" x14ac:dyDescent="0.25">
      <c r="A298" s="9" t="s">
        <v>366</v>
      </c>
      <c r="AN298" s="7"/>
      <c r="AO298" s="7"/>
      <c r="AP298" s="7"/>
      <c r="AQ298" s="7"/>
      <c r="AR298" s="7"/>
    </row>
    <row r="299" spans="1:44" x14ac:dyDescent="0.25">
      <c r="A299" s="9" t="s">
        <v>367</v>
      </c>
      <c r="AN299" s="7"/>
      <c r="AO299" s="7"/>
      <c r="AP299" s="7"/>
      <c r="AQ299" s="7"/>
      <c r="AR299" s="7"/>
    </row>
    <row r="300" spans="1:44" x14ac:dyDescent="0.25">
      <c r="A300" s="9" t="s">
        <v>368</v>
      </c>
      <c r="AN300" s="7"/>
      <c r="AO300" s="7"/>
      <c r="AP300" s="7"/>
      <c r="AQ300" s="7"/>
      <c r="AR300" s="7"/>
    </row>
    <row r="301" spans="1:44" x14ac:dyDescent="0.25">
      <c r="A301" s="9" t="s">
        <v>369</v>
      </c>
      <c r="AN301" s="7"/>
      <c r="AO301" s="7"/>
      <c r="AP301" s="7"/>
      <c r="AQ301" s="7"/>
      <c r="AR301" s="7"/>
    </row>
    <row r="302" spans="1:44" x14ac:dyDescent="0.25">
      <c r="A302" s="9" t="s">
        <v>370</v>
      </c>
      <c r="AN302" s="7"/>
      <c r="AO302" s="7"/>
      <c r="AP302" s="7"/>
      <c r="AQ302" s="7"/>
      <c r="AR302" s="7"/>
    </row>
    <row r="303" spans="1:44" x14ac:dyDescent="0.25">
      <c r="A303" s="9" t="s">
        <v>371</v>
      </c>
      <c r="AN303" s="7"/>
      <c r="AO303" s="7"/>
      <c r="AP303" s="7"/>
      <c r="AQ303" s="7"/>
      <c r="AR303" s="7"/>
    </row>
    <row r="304" spans="1:44" x14ac:dyDescent="0.25">
      <c r="A304" s="9" t="s">
        <v>372</v>
      </c>
      <c r="AN304" s="7"/>
      <c r="AO304" s="7"/>
      <c r="AP304" s="7"/>
      <c r="AQ304" s="7"/>
      <c r="AR304" s="7"/>
    </row>
    <row r="305" spans="1:44" x14ac:dyDescent="0.25">
      <c r="A305" s="9" t="s">
        <v>373</v>
      </c>
      <c r="AN305" s="7"/>
      <c r="AO305" s="7"/>
      <c r="AP305" s="7"/>
      <c r="AQ305" s="7"/>
      <c r="AR305" s="7"/>
    </row>
    <row r="306" spans="1:44" x14ac:dyDescent="0.25">
      <c r="A306" s="9" t="s">
        <v>374</v>
      </c>
      <c r="AN306" s="7"/>
      <c r="AO306" s="7"/>
      <c r="AP306" s="7"/>
      <c r="AQ306" s="7"/>
      <c r="AR306" s="7"/>
    </row>
    <row r="307" spans="1:44" x14ac:dyDescent="0.25">
      <c r="A307" s="9" t="s">
        <v>375</v>
      </c>
      <c r="AN307" s="7"/>
      <c r="AO307" s="7"/>
      <c r="AP307" s="7"/>
      <c r="AQ307" s="7"/>
      <c r="AR307" s="7"/>
    </row>
    <row r="308" spans="1:44" x14ac:dyDescent="0.25">
      <c r="A308" s="9" t="s">
        <v>376</v>
      </c>
      <c r="AN308" s="7"/>
      <c r="AO308" s="7"/>
      <c r="AP308" s="7"/>
      <c r="AQ308" s="7"/>
      <c r="AR308" s="7"/>
    </row>
    <row r="309" spans="1:44" x14ac:dyDescent="0.25">
      <c r="A309" s="9" t="s">
        <v>377</v>
      </c>
      <c r="AN309" s="7"/>
      <c r="AO309" s="7"/>
      <c r="AP309" s="7"/>
      <c r="AQ309" s="7"/>
      <c r="AR309" s="7"/>
    </row>
    <row r="310" spans="1:44" x14ac:dyDescent="0.25">
      <c r="A310" s="9" t="s">
        <v>378</v>
      </c>
      <c r="AN310" s="7"/>
      <c r="AO310" s="7"/>
      <c r="AP310" s="7"/>
      <c r="AQ310" s="7"/>
      <c r="AR310" s="7"/>
    </row>
    <row r="311" spans="1:44" x14ac:dyDescent="0.25">
      <c r="A311" s="9" t="s">
        <v>379</v>
      </c>
      <c r="AN311" s="7"/>
      <c r="AO311" s="7"/>
      <c r="AP311" s="7"/>
      <c r="AQ311" s="7"/>
      <c r="AR311" s="7"/>
    </row>
    <row r="312" spans="1:44" x14ac:dyDescent="0.25">
      <c r="A312" s="9" t="s">
        <v>380</v>
      </c>
      <c r="AN312" s="7"/>
      <c r="AO312" s="7"/>
      <c r="AP312" s="7"/>
      <c r="AQ312" s="7"/>
      <c r="AR312" s="7"/>
    </row>
    <row r="313" spans="1:44" x14ac:dyDescent="0.25">
      <c r="A313" s="9" t="s">
        <v>381</v>
      </c>
      <c r="AN313" s="7"/>
      <c r="AO313" s="7"/>
      <c r="AP313" s="7"/>
      <c r="AQ313" s="7"/>
      <c r="AR313" s="7"/>
    </row>
    <row r="314" spans="1:44" x14ac:dyDescent="0.25">
      <c r="A314" s="9" t="s">
        <v>382</v>
      </c>
      <c r="AN314" s="7"/>
      <c r="AO314" s="7"/>
      <c r="AP314" s="7"/>
      <c r="AQ314" s="7"/>
      <c r="AR314" s="7"/>
    </row>
    <row r="315" spans="1:44" x14ac:dyDescent="0.25">
      <c r="A315" s="9" t="s">
        <v>383</v>
      </c>
      <c r="AN315" s="7"/>
      <c r="AO315" s="7"/>
      <c r="AP315" s="7"/>
      <c r="AQ315" s="7"/>
      <c r="AR315" s="7"/>
    </row>
    <row r="316" spans="1:44" x14ac:dyDescent="0.25">
      <c r="A316" s="9" t="s">
        <v>384</v>
      </c>
      <c r="AN316" s="7"/>
      <c r="AO316" s="7"/>
      <c r="AP316" s="7"/>
      <c r="AQ316" s="7"/>
      <c r="AR316" s="7"/>
    </row>
    <row r="317" spans="1:44" x14ac:dyDescent="0.25">
      <c r="A317" s="9" t="s">
        <v>385</v>
      </c>
      <c r="AN317" s="7"/>
      <c r="AO317" s="7"/>
      <c r="AP317" s="7"/>
      <c r="AQ317" s="7"/>
      <c r="AR317" s="7"/>
    </row>
    <row r="318" spans="1:44" x14ac:dyDescent="0.25">
      <c r="A318" s="9" t="s">
        <v>386</v>
      </c>
      <c r="AN318" s="7"/>
      <c r="AO318" s="7"/>
      <c r="AP318" s="7"/>
      <c r="AQ318" s="7"/>
      <c r="AR318" s="7"/>
    </row>
    <row r="319" spans="1:44" x14ac:dyDescent="0.25">
      <c r="A319" s="9" t="s">
        <v>387</v>
      </c>
      <c r="AN319" s="7"/>
      <c r="AO319" s="7"/>
      <c r="AP319" s="7"/>
      <c r="AQ319" s="7"/>
      <c r="AR319" s="7"/>
    </row>
    <row r="320" spans="1:44" x14ac:dyDescent="0.25">
      <c r="A320" s="9" t="s">
        <v>388</v>
      </c>
      <c r="AN320" s="7"/>
      <c r="AO320" s="7"/>
      <c r="AP320" s="7"/>
      <c r="AQ320" s="7"/>
      <c r="AR320" s="7"/>
    </row>
    <row r="321" spans="1:44" x14ac:dyDescent="0.25">
      <c r="A321" s="9" t="s">
        <v>389</v>
      </c>
      <c r="AN321" s="7"/>
      <c r="AO321" s="7"/>
      <c r="AP321" s="7"/>
      <c r="AQ321" s="7"/>
      <c r="AR321" s="7"/>
    </row>
    <row r="322" spans="1:44" x14ac:dyDescent="0.25">
      <c r="A322" s="9" t="s">
        <v>390</v>
      </c>
      <c r="AN322" s="7"/>
      <c r="AO322" s="7"/>
      <c r="AP322" s="7"/>
      <c r="AQ322" s="7"/>
      <c r="AR322" s="7"/>
    </row>
    <row r="323" spans="1:44" x14ac:dyDescent="0.25">
      <c r="A323" s="9" t="s">
        <v>391</v>
      </c>
      <c r="AN323" s="7"/>
      <c r="AO323" s="7"/>
      <c r="AP323" s="7"/>
      <c r="AQ323" s="7"/>
      <c r="AR323" s="7"/>
    </row>
    <row r="324" spans="1:44" x14ac:dyDescent="0.25">
      <c r="A324" s="9" t="s">
        <v>392</v>
      </c>
      <c r="AN324" s="7"/>
      <c r="AO324" s="7"/>
      <c r="AP324" s="7"/>
      <c r="AQ324" s="7"/>
      <c r="AR324" s="7"/>
    </row>
    <row r="325" spans="1:44" x14ac:dyDescent="0.25">
      <c r="A325" s="9" t="s">
        <v>393</v>
      </c>
      <c r="AN325" s="7"/>
      <c r="AO325" s="7"/>
      <c r="AP325" s="7"/>
      <c r="AQ325" s="7"/>
      <c r="AR325" s="7"/>
    </row>
    <row r="326" spans="1:44" x14ac:dyDescent="0.25">
      <c r="A326" s="9" t="s">
        <v>394</v>
      </c>
      <c r="AN326" s="7"/>
      <c r="AO326" s="7"/>
      <c r="AP326" s="7"/>
      <c r="AQ326" s="7"/>
      <c r="AR326" s="7"/>
    </row>
    <row r="327" spans="1:44" x14ac:dyDescent="0.25">
      <c r="A327" s="9" t="s">
        <v>395</v>
      </c>
      <c r="AN327" s="7"/>
      <c r="AO327" s="7"/>
      <c r="AP327" s="7"/>
      <c r="AQ327" s="7"/>
      <c r="AR327" s="7"/>
    </row>
    <row r="328" spans="1:44" x14ac:dyDescent="0.25">
      <c r="A328" s="9" t="s">
        <v>396</v>
      </c>
      <c r="AN328" s="7"/>
      <c r="AO328" s="7"/>
      <c r="AP328" s="7"/>
      <c r="AQ328" s="7"/>
      <c r="AR328" s="7"/>
    </row>
    <row r="329" spans="1:44" x14ac:dyDescent="0.25">
      <c r="A329" s="9" t="s">
        <v>397</v>
      </c>
      <c r="AN329" s="7"/>
      <c r="AO329" s="7"/>
      <c r="AP329" s="7"/>
      <c r="AQ329" s="7"/>
      <c r="AR329" s="7"/>
    </row>
    <row r="330" spans="1:44" x14ac:dyDescent="0.25">
      <c r="A330" s="9" t="s">
        <v>398</v>
      </c>
      <c r="AN330" s="7"/>
      <c r="AO330" s="7"/>
      <c r="AP330" s="7"/>
      <c r="AQ330" s="7"/>
      <c r="AR330" s="7"/>
    </row>
    <row r="331" spans="1:44" x14ac:dyDescent="0.25">
      <c r="A331" s="9" t="s">
        <v>399</v>
      </c>
      <c r="AN331" s="7"/>
      <c r="AO331" s="7"/>
      <c r="AP331" s="7"/>
      <c r="AQ331" s="7"/>
      <c r="AR331" s="7"/>
    </row>
    <row r="332" spans="1:44" x14ac:dyDescent="0.25">
      <c r="A332" s="9" t="s">
        <v>400</v>
      </c>
      <c r="AN332" s="7"/>
      <c r="AO332" s="7"/>
      <c r="AP332" s="7"/>
      <c r="AQ332" s="7"/>
      <c r="AR332" s="7"/>
    </row>
    <row r="333" spans="1:44" x14ac:dyDescent="0.25">
      <c r="A333" s="9" t="s">
        <v>401</v>
      </c>
      <c r="AN333" s="7"/>
      <c r="AO333" s="7"/>
      <c r="AP333" s="7"/>
      <c r="AQ333" s="7"/>
      <c r="AR333" s="7"/>
    </row>
    <row r="334" spans="1:44" x14ac:dyDescent="0.25">
      <c r="A334" s="9" t="s">
        <v>402</v>
      </c>
      <c r="AN334" s="7"/>
      <c r="AO334" s="7"/>
      <c r="AP334" s="7"/>
      <c r="AQ334" s="7"/>
      <c r="AR334" s="7"/>
    </row>
    <row r="335" spans="1:44" x14ac:dyDescent="0.25">
      <c r="A335" s="9" t="s">
        <v>403</v>
      </c>
      <c r="AN335" s="7"/>
      <c r="AO335" s="7"/>
      <c r="AP335" s="7"/>
      <c r="AQ335" s="7"/>
      <c r="AR335" s="7"/>
    </row>
    <row r="336" spans="1:44" x14ac:dyDescent="0.25">
      <c r="A336" s="9" t="s">
        <v>404</v>
      </c>
      <c r="AN336" s="7"/>
      <c r="AO336" s="7"/>
      <c r="AP336" s="7"/>
      <c r="AQ336" s="7"/>
      <c r="AR336" s="7"/>
    </row>
    <row r="337" spans="1:44" x14ac:dyDescent="0.25">
      <c r="A337" s="9" t="s">
        <v>405</v>
      </c>
      <c r="AN337" s="7"/>
      <c r="AO337" s="7"/>
      <c r="AP337" s="7"/>
      <c r="AQ337" s="7"/>
      <c r="AR337" s="7"/>
    </row>
    <row r="338" spans="1:44" x14ac:dyDescent="0.25">
      <c r="A338" s="9" t="s">
        <v>406</v>
      </c>
      <c r="AN338" s="7"/>
      <c r="AO338" s="7"/>
      <c r="AP338" s="7"/>
      <c r="AQ338" s="7"/>
      <c r="AR338" s="7"/>
    </row>
    <row r="339" spans="1:44" x14ac:dyDescent="0.25">
      <c r="A339" s="9" t="s">
        <v>407</v>
      </c>
      <c r="AN339" s="7"/>
      <c r="AO339" s="7"/>
      <c r="AP339" s="7"/>
      <c r="AQ339" s="7"/>
      <c r="AR339" s="7"/>
    </row>
    <row r="340" spans="1:44" x14ac:dyDescent="0.25">
      <c r="A340" s="9" t="s">
        <v>408</v>
      </c>
      <c r="AN340" s="7"/>
      <c r="AO340" s="7"/>
      <c r="AP340" s="7"/>
      <c r="AQ340" s="7"/>
      <c r="AR340" s="7"/>
    </row>
    <row r="341" spans="1:44" x14ac:dyDescent="0.25">
      <c r="A341" s="9" t="s">
        <v>409</v>
      </c>
      <c r="AN341" s="7"/>
      <c r="AO341" s="7"/>
      <c r="AP341" s="7"/>
      <c r="AQ341" s="7"/>
      <c r="AR341" s="7"/>
    </row>
    <row r="342" spans="1:44" x14ac:dyDescent="0.25">
      <c r="A342" s="9" t="s">
        <v>410</v>
      </c>
    </row>
    <row r="343" spans="1:44" x14ac:dyDescent="0.25">
      <c r="A343" s="9" t="s">
        <v>411</v>
      </c>
    </row>
    <row r="344" spans="1:44" x14ac:dyDescent="0.25">
      <c r="A344" s="9" t="s">
        <v>412</v>
      </c>
    </row>
    <row r="345" spans="1:44" x14ac:dyDescent="0.25">
      <c r="A345" s="9" t="s">
        <v>413</v>
      </c>
    </row>
    <row r="346" spans="1:44" x14ac:dyDescent="0.25">
      <c r="A346" s="9" t="s">
        <v>414</v>
      </c>
    </row>
    <row r="347" spans="1:44" x14ac:dyDescent="0.25">
      <c r="A347" s="9" t="s">
        <v>415</v>
      </c>
    </row>
    <row r="348" spans="1:44" x14ac:dyDescent="0.25">
      <c r="A348" s="9" t="s">
        <v>416</v>
      </c>
    </row>
    <row r="349" spans="1:44" x14ac:dyDescent="0.25">
      <c r="A349" s="9" t="s">
        <v>417</v>
      </c>
    </row>
    <row r="350" spans="1:44" x14ac:dyDescent="0.25">
      <c r="A350" s="9" t="s">
        <v>418</v>
      </c>
    </row>
    <row r="351" spans="1:44" x14ac:dyDescent="0.25">
      <c r="A351" s="9" t="s">
        <v>419</v>
      </c>
    </row>
    <row r="352" spans="1:44" x14ac:dyDescent="0.25">
      <c r="A352" s="9" t="s">
        <v>420</v>
      </c>
    </row>
    <row r="353" spans="1:1" x14ac:dyDescent="0.25">
      <c r="A353" s="9" t="s">
        <v>421</v>
      </c>
    </row>
    <row r="354" spans="1:1" x14ac:dyDescent="0.25">
      <c r="A354" s="9" t="s">
        <v>422</v>
      </c>
    </row>
    <row r="355" spans="1:1" x14ac:dyDescent="0.25">
      <c r="A355" s="9" t="s">
        <v>423</v>
      </c>
    </row>
    <row r="356" spans="1:1" x14ac:dyDescent="0.25">
      <c r="A356" s="9" t="s">
        <v>424</v>
      </c>
    </row>
    <row r="357" spans="1:1" x14ac:dyDescent="0.25">
      <c r="A357" s="9" t="s">
        <v>425</v>
      </c>
    </row>
    <row r="358" spans="1:1" x14ac:dyDescent="0.25">
      <c r="A358" s="9" t="s">
        <v>426</v>
      </c>
    </row>
    <row r="359" spans="1:1" x14ac:dyDescent="0.25">
      <c r="A359" s="9" t="s">
        <v>427</v>
      </c>
    </row>
    <row r="360" spans="1:1" x14ac:dyDescent="0.25">
      <c r="A360" s="9" t="s">
        <v>428</v>
      </c>
    </row>
    <row r="361" spans="1:1" x14ac:dyDescent="0.25">
      <c r="A361" s="9" t="s">
        <v>429</v>
      </c>
    </row>
    <row r="362" spans="1:1" x14ac:dyDescent="0.25">
      <c r="A362" s="9" t="s">
        <v>430</v>
      </c>
    </row>
    <row r="363" spans="1:1" x14ac:dyDescent="0.25">
      <c r="A363" s="9" t="s">
        <v>431</v>
      </c>
    </row>
    <row r="364" spans="1:1" x14ac:dyDescent="0.25">
      <c r="A364" s="9" t="s">
        <v>432</v>
      </c>
    </row>
    <row r="365" spans="1:1" x14ac:dyDescent="0.25">
      <c r="A365" s="9" t="s">
        <v>433</v>
      </c>
    </row>
    <row r="366" spans="1:1" x14ac:dyDescent="0.25">
      <c r="A366" s="9" t="s">
        <v>434</v>
      </c>
    </row>
    <row r="367" spans="1:1" x14ac:dyDescent="0.25">
      <c r="A367" s="9" t="s">
        <v>435</v>
      </c>
    </row>
    <row r="368" spans="1:1" x14ac:dyDescent="0.25">
      <c r="A368" s="9" t="s">
        <v>436</v>
      </c>
    </row>
    <row r="369" spans="1:1" x14ac:dyDescent="0.25">
      <c r="A369" s="9" t="s">
        <v>437</v>
      </c>
    </row>
    <row r="370" spans="1:1" x14ac:dyDescent="0.25">
      <c r="A370" s="9" t="s">
        <v>438</v>
      </c>
    </row>
    <row r="371" spans="1:1" x14ac:dyDescent="0.25">
      <c r="A371" s="9" t="s">
        <v>439</v>
      </c>
    </row>
    <row r="372" spans="1:1" x14ac:dyDescent="0.25">
      <c r="A372" s="9" t="s">
        <v>440</v>
      </c>
    </row>
    <row r="373" spans="1:1" x14ac:dyDescent="0.25">
      <c r="A373" s="9" t="s">
        <v>441</v>
      </c>
    </row>
    <row r="374" spans="1:1" x14ac:dyDescent="0.25">
      <c r="A374" s="9" t="s">
        <v>442</v>
      </c>
    </row>
    <row r="375" spans="1:1" x14ac:dyDescent="0.25">
      <c r="A375" s="9" t="s">
        <v>443</v>
      </c>
    </row>
    <row r="376" spans="1:1" x14ac:dyDescent="0.25">
      <c r="A376" s="9" t="s">
        <v>444</v>
      </c>
    </row>
    <row r="377" spans="1:1" x14ac:dyDescent="0.25">
      <c r="A377" s="9" t="s">
        <v>445</v>
      </c>
    </row>
    <row r="378" spans="1:1" x14ac:dyDescent="0.25">
      <c r="A378" s="9" t="s">
        <v>446</v>
      </c>
    </row>
    <row r="379" spans="1:1" x14ac:dyDescent="0.25">
      <c r="A379" s="9" t="s">
        <v>447</v>
      </c>
    </row>
    <row r="380" spans="1:1" x14ac:dyDescent="0.25">
      <c r="A380" s="9" t="s">
        <v>448</v>
      </c>
    </row>
    <row r="381" spans="1:1" x14ac:dyDescent="0.25">
      <c r="A381" s="9" t="s">
        <v>449</v>
      </c>
    </row>
    <row r="382" spans="1:1" x14ac:dyDescent="0.25">
      <c r="A382" s="9" t="s">
        <v>450</v>
      </c>
    </row>
    <row r="383" spans="1:1" x14ac:dyDescent="0.25">
      <c r="A383" s="9" t="s">
        <v>451</v>
      </c>
    </row>
    <row r="384" spans="1:1" x14ac:dyDescent="0.25">
      <c r="A384" s="9" t="s">
        <v>452</v>
      </c>
    </row>
    <row r="385" spans="1:1" x14ac:dyDescent="0.25">
      <c r="A385" s="9" t="s">
        <v>453</v>
      </c>
    </row>
    <row r="386" spans="1:1" x14ac:dyDescent="0.25">
      <c r="A386" s="9" t="s">
        <v>454</v>
      </c>
    </row>
    <row r="387" spans="1:1" x14ac:dyDescent="0.25">
      <c r="A387" s="9" t="s">
        <v>455</v>
      </c>
    </row>
    <row r="388" spans="1:1" x14ac:dyDescent="0.25">
      <c r="A388" s="9" t="s">
        <v>456</v>
      </c>
    </row>
    <row r="389" spans="1:1" x14ac:dyDescent="0.25">
      <c r="A389" s="9" t="s">
        <v>457</v>
      </c>
    </row>
    <row r="390" spans="1:1" x14ac:dyDescent="0.25">
      <c r="A390" s="9" t="s">
        <v>458</v>
      </c>
    </row>
    <row r="391" spans="1:1" x14ac:dyDescent="0.25">
      <c r="A391" s="9" t="s">
        <v>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5A5FC-939E-484E-B8E4-FBBE93E7CBAF}">
  <sheetPr>
    <pageSetUpPr fitToPage="1"/>
  </sheetPr>
  <dimension ref="A1:P190"/>
  <sheetViews>
    <sheetView rightToLeft="1" workbookViewId="0">
      <selection activeCell="O19" sqref="O19"/>
    </sheetView>
  </sheetViews>
  <sheetFormatPr defaultRowHeight="15" x14ac:dyDescent="0.25"/>
  <cols>
    <col min="1" max="4" width="9.140625" style="3"/>
    <col min="5" max="5" width="19.7109375" style="3" customWidth="1"/>
    <col min="6" max="6" width="12.7109375" style="3" bestFit="1" customWidth="1"/>
    <col min="7" max="7" width="17.5703125" style="3" bestFit="1" customWidth="1"/>
    <col min="8" max="8" width="9.140625" style="3"/>
    <col min="9" max="9" width="12.7109375" style="3" bestFit="1" customWidth="1"/>
    <col min="10" max="10" width="14.28515625" style="3" bestFit="1" customWidth="1"/>
    <col min="11" max="11" width="25.28515625" style="3" bestFit="1" customWidth="1"/>
    <col min="12" max="12" width="8.42578125" style="3" bestFit="1" customWidth="1"/>
    <col min="13" max="13" width="17.140625" style="3" bestFit="1" customWidth="1"/>
    <col min="14" max="14" width="18" style="3" bestFit="1" customWidth="1"/>
    <col min="15" max="15" width="12.85546875" style="3" bestFit="1" customWidth="1"/>
    <col min="16" max="16" width="9.140625" style="3"/>
  </cols>
  <sheetData>
    <row r="1" spans="1:16" ht="22.5" x14ac:dyDescent="0.55000000000000004">
      <c r="A1" s="1" t="s">
        <v>483</v>
      </c>
      <c r="B1" s="1" t="s">
        <v>484</v>
      </c>
      <c r="C1" s="1" t="s">
        <v>485</v>
      </c>
      <c r="D1" s="1" t="s">
        <v>486</v>
      </c>
      <c r="E1" s="1" t="s">
        <v>487</v>
      </c>
      <c r="F1" s="1" t="s">
        <v>488</v>
      </c>
      <c r="G1" s="1" t="s">
        <v>489</v>
      </c>
      <c r="H1" s="1" t="s">
        <v>490</v>
      </c>
      <c r="I1" s="1" t="s">
        <v>491</v>
      </c>
      <c r="J1" s="1" t="s">
        <v>492</v>
      </c>
      <c r="K1" s="1" t="s">
        <v>493</v>
      </c>
      <c r="L1" s="1" t="s">
        <v>494</v>
      </c>
      <c r="M1" s="1" t="s">
        <v>495</v>
      </c>
      <c r="N1" s="1" t="s">
        <v>496</v>
      </c>
      <c r="O1" s="1" t="s">
        <v>497</v>
      </c>
      <c r="P1" s="1" t="s">
        <v>498</v>
      </c>
    </row>
    <row r="2" spans="1:16" x14ac:dyDescent="0.25">
      <c r="A2" s="2">
        <f>ROW(A2)-1</f>
        <v>1</v>
      </c>
      <c r="B2" s="2">
        <v>1405</v>
      </c>
      <c r="C2" s="2" t="s">
        <v>54</v>
      </c>
      <c r="D2" s="2">
        <v>2</v>
      </c>
      <c r="E2" s="2" t="s">
        <v>473</v>
      </c>
      <c r="F2" s="2">
        <v>5</v>
      </c>
      <c r="G2" s="2">
        <v>5</v>
      </c>
      <c r="H2" s="2">
        <v>3</v>
      </c>
      <c r="I2" s="2">
        <v>4</v>
      </c>
      <c r="J2" s="2">
        <v>4</v>
      </c>
      <c r="K2" s="2">
        <v>5</v>
      </c>
      <c r="L2" s="2">
        <v>5</v>
      </c>
      <c r="M2" s="2">
        <v>5</v>
      </c>
      <c r="N2" s="2">
        <v>5</v>
      </c>
      <c r="O2" s="2">
        <v>5</v>
      </c>
      <c r="P2" s="2">
        <f>((F2*2)+(G2)+(H2*2)+(I2*2)+(J2*5)+(K2*3)+(L2*3)+(M2*3)+(N2*3)+(O2*2))/26</f>
        <v>4.5769230769230766</v>
      </c>
    </row>
    <row r="3" spans="1:16" x14ac:dyDescent="0.25">
      <c r="A3" s="2">
        <f t="shared" ref="A3:A62" si="0">ROW(A3)-1</f>
        <v>2</v>
      </c>
      <c r="B3" s="2">
        <v>1405</v>
      </c>
      <c r="C3" s="2" t="s">
        <v>54</v>
      </c>
      <c r="D3" s="2">
        <v>2</v>
      </c>
      <c r="E3" s="2" t="s">
        <v>81</v>
      </c>
      <c r="F3" s="2">
        <v>4</v>
      </c>
      <c r="G3" s="2">
        <v>4</v>
      </c>
      <c r="H3" s="2">
        <v>3</v>
      </c>
      <c r="I3" s="2">
        <v>3</v>
      </c>
      <c r="J3" s="2">
        <v>5</v>
      </c>
      <c r="K3" s="2">
        <v>5</v>
      </c>
      <c r="L3" s="2">
        <v>3</v>
      </c>
      <c r="M3" s="2">
        <v>3</v>
      </c>
      <c r="N3" s="2">
        <v>3</v>
      </c>
      <c r="O3" s="2">
        <v>5</v>
      </c>
      <c r="P3" s="2">
        <f t="shared" ref="P3:P62" si="1">((F3*2)+(G3)+(H3*2)+(I3*2)+(J3*5)+(K3*3)+(L3*3)+(M3*3)+(N3*3)+(O3*2))/26</f>
        <v>3.8846153846153846</v>
      </c>
    </row>
    <row r="4" spans="1:16" x14ac:dyDescent="0.25">
      <c r="A4" s="2">
        <f t="shared" si="0"/>
        <v>3</v>
      </c>
      <c r="B4" s="2">
        <v>1405</v>
      </c>
      <c r="C4" s="2" t="s">
        <v>54</v>
      </c>
      <c r="D4" s="2">
        <v>2</v>
      </c>
      <c r="E4" s="2" t="s">
        <v>474</v>
      </c>
      <c r="F4" s="2">
        <v>3</v>
      </c>
      <c r="G4" s="2">
        <v>4</v>
      </c>
      <c r="H4" s="2">
        <v>3</v>
      </c>
      <c r="I4" s="2">
        <v>5</v>
      </c>
      <c r="J4" s="2">
        <v>3</v>
      </c>
      <c r="K4" s="2">
        <v>4</v>
      </c>
      <c r="L4" s="2">
        <v>3</v>
      </c>
      <c r="M4" s="2">
        <v>3</v>
      </c>
      <c r="N4" s="2">
        <v>3</v>
      </c>
      <c r="O4" s="2">
        <v>4</v>
      </c>
      <c r="P4" s="2">
        <f t="shared" si="1"/>
        <v>3.3846153846153846</v>
      </c>
    </row>
    <row r="5" spans="1:16" x14ac:dyDescent="0.25">
      <c r="A5" s="2">
        <f t="shared" si="0"/>
        <v>4</v>
      </c>
      <c r="B5" s="2">
        <v>1405</v>
      </c>
      <c r="C5" s="2" t="s">
        <v>54</v>
      </c>
      <c r="D5" s="2">
        <v>2</v>
      </c>
      <c r="E5" s="2" t="s">
        <v>475</v>
      </c>
      <c r="F5" s="2">
        <v>4</v>
      </c>
      <c r="G5" s="2">
        <v>4</v>
      </c>
      <c r="H5" s="2">
        <v>3</v>
      </c>
      <c r="I5" s="2">
        <v>4</v>
      </c>
      <c r="J5" s="2">
        <v>3</v>
      </c>
      <c r="K5" s="2">
        <v>4</v>
      </c>
      <c r="L5" s="2">
        <v>3</v>
      </c>
      <c r="M5" s="2">
        <v>3</v>
      </c>
      <c r="N5" s="2">
        <v>3</v>
      </c>
      <c r="O5" s="2">
        <v>5</v>
      </c>
      <c r="P5" s="2">
        <f t="shared" si="1"/>
        <v>3.4615384615384617</v>
      </c>
    </row>
    <row r="6" spans="1:16" x14ac:dyDescent="0.25">
      <c r="A6" s="2">
        <f t="shared" si="0"/>
        <v>5</v>
      </c>
      <c r="B6" s="2">
        <v>1405</v>
      </c>
      <c r="C6" s="2" t="s">
        <v>54</v>
      </c>
      <c r="D6" s="2">
        <v>2</v>
      </c>
      <c r="E6" s="2" t="s">
        <v>55</v>
      </c>
      <c r="F6" s="2">
        <v>3</v>
      </c>
      <c r="G6" s="2">
        <v>2</v>
      </c>
      <c r="H6" s="2">
        <v>3</v>
      </c>
      <c r="I6" s="2">
        <v>3</v>
      </c>
      <c r="J6" s="2">
        <v>3</v>
      </c>
      <c r="K6" s="2">
        <v>4</v>
      </c>
      <c r="L6" s="2">
        <v>3</v>
      </c>
      <c r="M6" s="2">
        <v>3</v>
      </c>
      <c r="N6" s="2">
        <v>3</v>
      </c>
      <c r="O6" s="2">
        <v>4</v>
      </c>
      <c r="P6" s="2">
        <f t="shared" si="1"/>
        <v>3.1538461538461537</v>
      </c>
    </row>
    <row r="7" spans="1:16" x14ac:dyDescent="0.25">
      <c r="A7" s="2">
        <f t="shared" si="0"/>
        <v>6</v>
      </c>
      <c r="B7" s="2">
        <v>1405</v>
      </c>
      <c r="C7" s="2" t="s">
        <v>54</v>
      </c>
      <c r="D7" s="2">
        <v>2</v>
      </c>
      <c r="E7" s="2" t="s">
        <v>476</v>
      </c>
      <c r="F7" s="2">
        <v>4</v>
      </c>
      <c r="G7" s="2">
        <v>4</v>
      </c>
      <c r="H7" s="2">
        <v>3</v>
      </c>
      <c r="I7" s="2">
        <v>4</v>
      </c>
      <c r="J7" s="2">
        <v>3</v>
      </c>
      <c r="K7" s="2">
        <v>5</v>
      </c>
      <c r="L7" s="2">
        <v>3</v>
      </c>
      <c r="M7" s="2">
        <v>4</v>
      </c>
      <c r="N7" s="2">
        <v>3</v>
      </c>
      <c r="O7" s="2">
        <v>5</v>
      </c>
      <c r="P7" s="2">
        <f t="shared" si="1"/>
        <v>3.6923076923076925</v>
      </c>
    </row>
    <row r="8" spans="1:16" x14ac:dyDescent="0.25">
      <c r="A8" s="2">
        <f t="shared" si="0"/>
        <v>7</v>
      </c>
      <c r="B8" s="2">
        <v>1405</v>
      </c>
      <c r="C8" s="2" t="s">
        <v>54</v>
      </c>
      <c r="D8" s="2">
        <v>2</v>
      </c>
      <c r="E8" s="2" t="s">
        <v>477</v>
      </c>
      <c r="F8" s="2">
        <v>3</v>
      </c>
      <c r="G8" s="2">
        <v>3</v>
      </c>
      <c r="H8" s="2">
        <v>3</v>
      </c>
      <c r="I8" s="2">
        <v>4</v>
      </c>
      <c r="J8" s="2">
        <v>2</v>
      </c>
      <c r="K8" s="2">
        <v>4</v>
      </c>
      <c r="L8" s="2">
        <v>2</v>
      </c>
      <c r="M8" s="2">
        <v>2</v>
      </c>
      <c r="N8" s="2">
        <v>3</v>
      </c>
      <c r="O8" s="2">
        <v>3</v>
      </c>
      <c r="P8" s="2">
        <f t="shared" si="1"/>
        <v>2.7692307692307692</v>
      </c>
    </row>
    <row r="9" spans="1:16" x14ac:dyDescent="0.25">
      <c r="A9" s="2">
        <f t="shared" si="0"/>
        <v>8</v>
      </c>
      <c r="B9" s="2">
        <v>1405</v>
      </c>
      <c r="C9" s="2" t="s">
        <v>54</v>
      </c>
      <c r="D9" s="2">
        <v>2</v>
      </c>
      <c r="E9" s="2" t="s">
        <v>84</v>
      </c>
      <c r="F9" s="2">
        <v>5</v>
      </c>
      <c r="G9" s="2">
        <v>5</v>
      </c>
      <c r="H9" s="2">
        <v>3</v>
      </c>
      <c r="I9" s="2">
        <v>5</v>
      </c>
      <c r="J9" s="2">
        <v>5</v>
      </c>
      <c r="K9" s="2">
        <v>5</v>
      </c>
      <c r="L9" s="2">
        <v>5</v>
      </c>
      <c r="M9" s="2">
        <v>5</v>
      </c>
      <c r="N9" s="2">
        <v>5</v>
      </c>
      <c r="O9" s="2">
        <v>5</v>
      </c>
      <c r="P9" s="2">
        <f t="shared" si="1"/>
        <v>4.8461538461538458</v>
      </c>
    </row>
    <row r="10" spans="1:16" x14ac:dyDescent="0.25">
      <c r="A10" s="2">
        <f t="shared" si="0"/>
        <v>9</v>
      </c>
      <c r="B10" s="2">
        <v>1405</v>
      </c>
      <c r="C10" s="2" t="s">
        <v>54</v>
      </c>
      <c r="D10" s="2">
        <v>2</v>
      </c>
      <c r="E10" s="2" t="s">
        <v>480</v>
      </c>
      <c r="F10" s="2">
        <v>5</v>
      </c>
      <c r="G10" s="2">
        <v>5</v>
      </c>
      <c r="H10" s="2">
        <v>3</v>
      </c>
      <c r="I10" s="2">
        <v>5</v>
      </c>
      <c r="J10" s="2">
        <v>2</v>
      </c>
      <c r="K10" s="2">
        <v>3</v>
      </c>
      <c r="L10" s="2">
        <v>2</v>
      </c>
      <c r="M10" s="2">
        <v>2</v>
      </c>
      <c r="N10" s="2">
        <v>3</v>
      </c>
      <c r="O10" s="2">
        <v>2</v>
      </c>
      <c r="P10" s="2">
        <f t="shared" si="1"/>
        <v>2.8846153846153846</v>
      </c>
    </row>
    <row r="11" spans="1:16" x14ac:dyDescent="0.25">
      <c r="A11" s="2">
        <v>10</v>
      </c>
      <c r="B11" s="2">
        <v>1405</v>
      </c>
      <c r="C11" s="2" t="s">
        <v>54</v>
      </c>
      <c r="D11" s="2">
        <v>2</v>
      </c>
      <c r="E11" s="2" t="s">
        <v>466</v>
      </c>
      <c r="F11" s="2">
        <v>3</v>
      </c>
      <c r="G11" s="2">
        <v>4</v>
      </c>
      <c r="H11" s="2">
        <v>4</v>
      </c>
      <c r="I11" s="2">
        <v>4</v>
      </c>
      <c r="J11" s="2">
        <v>3</v>
      </c>
      <c r="K11" s="2">
        <v>5</v>
      </c>
      <c r="L11" s="2">
        <v>4</v>
      </c>
      <c r="M11" s="2">
        <v>4</v>
      </c>
      <c r="N11" s="2">
        <v>4</v>
      </c>
      <c r="O11" s="2">
        <v>4</v>
      </c>
      <c r="P11" s="2">
        <f t="shared" si="1"/>
        <v>3.8461538461538463</v>
      </c>
    </row>
    <row r="12" spans="1:16" x14ac:dyDescent="0.25">
      <c r="A12" s="2">
        <f t="shared" si="0"/>
        <v>11</v>
      </c>
      <c r="B12" s="2">
        <v>1405</v>
      </c>
      <c r="C12" s="2" t="s">
        <v>54</v>
      </c>
      <c r="D12" s="2">
        <v>3</v>
      </c>
      <c r="E12" s="2" t="s">
        <v>473</v>
      </c>
      <c r="F12" s="2">
        <v>5</v>
      </c>
      <c r="G12" s="2">
        <v>5</v>
      </c>
      <c r="H12" s="2">
        <v>3</v>
      </c>
      <c r="I12" s="2">
        <v>3</v>
      </c>
      <c r="J12" s="2">
        <v>3</v>
      </c>
      <c r="K12" s="2">
        <v>4</v>
      </c>
      <c r="L12" s="2">
        <v>3</v>
      </c>
      <c r="M12" s="2">
        <v>3</v>
      </c>
      <c r="N12" s="2">
        <v>3</v>
      </c>
      <c r="O12" s="2">
        <v>4</v>
      </c>
      <c r="P12" s="2">
        <f t="shared" si="1"/>
        <v>3.4230769230769229</v>
      </c>
    </row>
    <row r="13" spans="1:16" x14ac:dyDescent="0.25">
      <c r="A13" s="2">
        <f t="shared" si="0"/>
        <v>12</v>
      </c>
      <c r="B13" s="2">
        <v>1405</v>
      </c>
      <c r="C13" s="2" t="s">
        <v>54</v>
      </c>
      <c r="D13" s="2">
        <v>3</v>
      </c>
      <c r="E13" s="2" t="s">
        <v>81</v>
      </c>
      <c r="F13" s="2">
        <v>4</v>
      </c>
      <c r="G13" s="2">
        <v>4</v>
      </c>
      <c r="H13" s="2">
        <v>3</v>
      </c>
      <c r="I13" s="2">
        <v>3</v>
      </c>
      <c r="J13" s="2">
        <v>5</v>
      </c>
      <c r="K13" s="2">
        <v>5</v>
      </c>
      <c r="L13" s="2">
        <v>4</v>
      </c>
      <c r="M13" s="2">
        <v>5</v>
      </c>
      <c r="N13" s="2">
        <v>5</v>
      </c>
      <c r="O13" s="2">
        <v>4</v>
      </c>
      <c r="P13" s="2">
        <f t="shared" si="1"/>
        <v>4.384615384615385</v>
      </c>
    </row>
    <row r="14" spans="1:16" x14ac:dyDescent="0.25">
      <c r="A14" s="2">
        <f t="shared" si="0"/>
        <v>13</v>
      </c>
      <c r="B14" s="2">
        <v>1405</v>
      </c>
      <c r="C14" s="2" t="s">
        <v>54</v>
      </c>
      <c r="D14" s="2">
        <v>3</v>
      </c>
      <c r="E14" s="2" t="s">
        <v>474</v>
      </c>
      <c r="F14" s="2">
        <v>1</v>
      </c>
      <c r="G14" s="2">
        <v>3</v>
      </c>
      <c r="H14" s="2">
        <v>3</v>
      </c>
      <c r="I14" s="2">
        <v>5</v>
      </c>
      <c r="J14" s="2">
        <v>3</v>
      </c>
      <c r="K14" s="2">
        <v>2</v>
      </c>
      <c r="L14" s="2">
        <v>4</v>
      </c>
      <c r="M14" s="2">
        <v>3</v>
      </c>
      <c r="N14" s="2">
        <v>2</v>
      </c>
      <c r="O14" s="2">
        <v>3</v>
      </c>
      <c r="P14" s="2">
        <f t="shared" si="1"/>
        <v>2.8846153846153846</v>
      </c>
    </row>
    <row r="15" spans="1:16" x14ac:dyDescent="0.25">
      <c r="A15" s="2">
        <f t="shared" si="0"/>
        <v>14</v>
      </c>
      <c r="B15" s="2">
        <v>1405</v>
      </c>
      <c r="C15" s="2" t="s">
        <v>54</v>
      </c>
      <c r="D15" s="2">
        <v>3</v>
      </c>
      <c r="E15" s="2" t="s">
        <v>475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f t="shared" si="1"/>
        <v>1</v>
      </c>
    </row>
    <row r="16" spans="1:16" x14ac:dyDescent="0.25">
      <c r="A16" s="2">
        <f t="shared" si="0"/>
        <v>15</v>
      </c>
      <c r="B16" s="2">
        <v>1405</v>
      </c>
      <c r="C16" s="2" t="s">
        <v>54</v>
      </c>
      <c r="D16" s="2">
        <v>3</v>
      </c>
      <c r="E16" s="2" t="s">
        <v>55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f t="shared" si="1"/>
        <v>1</v>
      </c>
    </row>
    <row r="17" spans="1:16" x14ac:dyDescent="0.25">
      <c r="A17" s="2">
        <f t="shared" si="0"/>
        <v>16</v>
      </c>
      <c r="B17" s="2">
        <v>1405</v>
      </c>
      <c r="C17" s="2" t="s">
        <v>54</v>
      </c>
      <c r="D17" s="2">
        <v>3</v>
      </c>
      <c r="E17" s="2" t="s">
        <v>476</v>
      </c>
      <c r="F17" s="2">
        <v>5</v>
      </c>
      <c r="G17" s="2">
        <v>4</v>
      </c>
      <c r="H17" s="2">
        <v>3</v>
      </c>
      <c r="I17" s="2">
        <v>3</v>
      </c>
      <c r="J17" s="2">
        <v>3</v>
      </c>
      <c r="K17" s="2">
        <v>4</v>
      </c>
      <c r="L17" s="2">
        <v>4</v>
      </c>
      <c r="M17" s="2">
        <v>4</v>
      </c>
      <c r="N17" s="2">
        <v>3</v>
      </c>
      <c r="O17" s="2">
        <v>4</v>
      </c>
      <c r="P17" s="2">
        <f t="shared" si="1"/>
        <v>3.6153846153846154</v>
      </c>
    </row>
    <row r="18" spans="1:16" x14ac:dyDescent="0.25">
      <c r="A18" s="2">
        <f t="shared" si="0"/>
        <v>17</v>
      </c>
      <c r="B18" s="2">
        <v>1405</v>
      </c>
      <c r="C18" s="2" t="s">
        <v>54</v>
      </c>
      <c r="D18" s="2">
        <v>3</v>
      </c>
      <c r="E18" s="2" t="s">
        <v>477</v>
      </c>
      <c r="F18" s="2">
        <v>3</v>
      </c>
      <c r="G18" s="2">
        <v>2</v>
      </c>
      <c r="H18" s="2">
        <v>3</v>
      </c>
      <c r="I18" s="2">
        <v>3</v>
      </c>
      <c r="J18" s="2">
        <v>2</v>
      </c>
      <c r="K18" s="2">
        <v>2</v>
      </c>
      <c r="L18" s="2">
        <v>2</v>
      </c>
      <c r="M18" s="2">
        <v>3</v>
      </c>
      <c r="N18" s="2">
        <v>2</v>
      </c>
      <c r="O18" s="2">
        <v>3</v>
      </c>
      <c r="P18" s="2">
        <f t="shared" si="1"/>
        <v>2.4230769230769229</v>
      </c>
    </row>
    <row r="19" spans="1:16" x14ac:dyDescent="0.25">
      <c r="A19" s="2">
        <f t="shared" si="0"/>
        <v>18</v>
      </c>
      <c r="B19" s="2">
        <v>1405</v>
      </c>
      <c r="C19" s="2" t="s">
        <v>54</v>
      </c>
      <c r="D19" s="2">
        <v>3</v>
      </c>
      <c r="E19" s="2" t="s">
        <v>480</v>
      </c>
      <c r="F19" s="2">
        <v>4</v>
      </c>
      <c r="G19" s="2">
        <v>5</v>
      </c>
      <c r="H19" s="2">
        <v>4</v>
      </c>
      <c r="I19" s="2">
        <v>4</v>
      </c>
      <c r="J19" s="2">
        <v>4</v>
      </c>
      <c r="K19" s="2">
        <v>2</v>
      </c>
      <c r="L19" s="2">
        <v>2</v>
      </c>
      <c r="M19" s="2">
        <v>2</v>
      </c>
      <c r="N19" s="2">
        <v>3</v>
      </c>
      <c r="O19" s="2">
        <v>2</v>
      </c>
      <c r="P19" s="2">
        <f t="shared" si="1"/>
        <v>3.0769230769230771</v>
      </c>
    </row>
    <row r="20" spans="1:16" x14ac:dyDescent="0.25">
      <c r="A20" s="2">
        <f t="shared" si="0"/>
        <v>19</v>
      </c>
      <c r="B20" s="2">
        <v>1405</v>
      </c>
      <c r="C20" s="2" t="s">
        <v>54</v>
      </c>
      <c r="D20" s="2">
        <v>3</v>
      </c>
      <c r="E20" s="2" t="s">
        <v>466</v>
      </c>
      <c r="F20" s="2">
        <v>4</v>
      </c>
      <c r="G20" s="2">
        <v>4</v>
      </c>
      <c r="H20" s="2">
        <v>3</v>
      </c>
      <c r="I20" s="2">
        <v>3</v>
      </c>
      <c r="J20" s="2">
        <v>2</v>
      </c>
      <c r="K20" s="2">
        <v>4</v>
      </c>
      <c r="L20" s="2">
        <v>4</v>
      </c>
      <c r="M20" s="2">
        <v>4</v>
      </c>
      <c r="N20" s="2">
        <v>4</v>
      </c>
      <c r="O20" s="2">
        <v>4</v>
      </c>
      <c r="P20" s="2">
        <f t="shared" si="1"/>
        <v>3.4615384615384617</v>
      </c>
    </row>
    <row r="21" spans="1:16" x14ac:dyDescent="0.25">
      <c r="A21" s="2">
        <f t="shared" si="0"/>
        <v>20</v>
      </c>
      <c r="B21" s="2">
        <v>1405</v>
      </c>
      <c r="C21" s="2" t="s">
        <v>54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>
        <f t="shared" si="1"/>
        <v>0</v>
      </c>
    </row>
    <row r="22" spans="1:16" x14ac:dyDescent="0.25">
      <c r="A22" s="2">
        <f t="shared" si="0"/>
        <v>21</v>
      </c>
      <c r="B22" s="2">
        <v>1405</v>
      </c>
      <c r="C22" s="2" t="s">
        <v>54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>
        <f t="shared" si="1"/>
        <v>0</v>
      </c>
    </row>
    <row r="23" spans="1:16" x14ac:dyDescent="0.25">
      <c r="A23" s="2">
        <f t="shared" si="0"/>
        <v>22</v>
      </c>
      <c r="B23" s="2">
        <v>1405</v>
      </c>
      <c r="C23" s="2" t="s">
        <v>54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>
        <f t="shared" si="1"/>
        <v>0</v>
      </c>
    </row>
    <row r="24" spans="1:16" x14ac:dyDescent="0.25">
      <c r="A24" s="2">
        <f t="shared" si="0"/>
        <v>23</v>
      </c>
      <c r="B24" s="2">
        <v>1405</v>
      </c>
      <c r="C24" s="2" t="s">
        <v>54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>
        <f t="shared" si="1"/>
        <v>0</v>
      </c>
    </row>
    <row r="25" spans="1:16" x14ac:dyDescent="0.25">
      <c r="A25" s="2">
        <f t="shared" si="0"/>
        <v>24</v>
      </c>
      <c r="B25" s="2">
        <v>1405</v>
      </c>
      <c r="C25" s="2" t="s">
        <v>54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>
        <f t="shared" si="1"/>
        <v>0</v>
      </c>
    </row>
    <row r="26" spans="1:16" x14ac:dyDescent="0.25">
      <c r="A26" s="2">
        <f t="shared" si="0"/>
        <v>25</v>
      </c>
      <c r="B26" s="2">
        <v>1405</v>
      </c>
      <c r="C26" s="2" t="s">
        <v>54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>
        <f t="shared" si="1"/>
        <v>0</v>
      </c>
    </row>
    <row r="27" spans="1:16" x14ac:dyDescent="0.25">
      <c r="A27" s="2">
        <f t="shared" si="0"/>
        <v>26</v>
      </c>
      <c r="B27" s="2">
        <v>1405</v>
      </c>
      <c r="C27" s="2" t="s">
        <v>54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>
        <f t="shared" si="1"/>
        <v>0</v>
      </c>
    </row>
    <row r="28" spans="1:16" x14ac:dyDescent="0.25">
      <c r="A28" s="2">
        <f t="shared" si="0"/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>
        <f t="shared" si="1"/>
        <v>0</v>
      </c>
    </row>
    <row r="29" spans="1:16" x14ac:dyDescent="0.25">
      <c r="A29" s="2">
        <f t="shared" si="0"/>
        <v>28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>
        <f t="shared" si="1"/>
        <v>0</v>
      </c>
    </row>
    <row r="30" spans="1:16" x14ac:dyDescent="0.25">
      <c r="A30" s="2">
        <f t="shared" si="0"/>
        <v>29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>
        <f t="shared" si="1"/>
        <v>0</v>
      </c>
    </row>
    <row r="31" spans="1:16" x14ac:dyDescent="0.25">
      <c r="A31" s="2">
        <f t="shared" si="0"/>
        <v>30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>
        <f t="shared" si="1"/>
        <v>0</v>
      </c>
    </row>
    <row r="32" spans="1:16" x14ac:dyDescent="0.25">
      <c r="A32" s="2">
        <f t="shared" si="0"/>
        <v>31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>
        <f t="shared" si="1"/>
        <v>0</v>
      </c>
    </row>
    <row r="33" spans="1:16" x14ac:dyDescent="0.25">
      <c r="A33" s="2">
        <f t="shared" si="0"/>
        <v>32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>
        <f t="shared" si="1"/>
        <v>0</v>
      </c>
    </row>
    <row r="34" spans="1:16" x14ac:dyDescent="0.25">
      <c r="A34" s="2">
        <f t="shared" si="0"/>
        <v>33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>
        <f t="shared" si="1"/>
        <v>0</v>
      </c>
    </row>
    <row r="35" spans="1:16" x14ac:dyDescent="0.25">
      <c r="A35" s="2">
        <f t="shared" si="0"/>
        <v>34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>
        <f t="shared" si="1"/>
        <v>0</v>
      </c>
    </row>
    <row r="36" spans="1:16" x14ac:dyDescent="0.25">
      <c r="A36" s="2">
        <f t="shared" si="0"/>
        <v>35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>
        <f t="shared" si="1"/>
        <v>0</v>
      </c>
    </row>
    <row r="37" spans="1:16" x14ac:dyDescent="0.25">
      <c r="A37" s="2">
        <f t="shared" si="0"/>
        <v>36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>
        <f t="shared" si="1"/>
        <v>0</v>
      </c>
    </row>
    <row r="38" spans="1:16" x14ac:dyDescent="0.25">
      <c r="A38" s="2">
        <f t="shared" si="0"/>
        <v>37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>
        <f t="shared" si="1"/>
        <v>0</v>
      </c>
    </row>
    <row r="39" spans="1:16" x14ac:dyDescent="0.25">
      <c r="A39" s="2">
        <f t="shared" si="0"/>
        <v>38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>
        <f t="shared" si="1"/>
        <v>0</v>
      </c>
    </row>
    <row r="40" spans="1:16" x14ac:dyDescent="0.25">
      <c r="A40" s="2">
        <f t="shared" si="0"/>
        <v>39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>
        <f t="shared" si="1"/>
        <v>0</v>
      </c>
    </row>
    <row r="41" spans="1:16" x14ac:dyDescent="0.25">
      <c r="A41" s="2">
        <f t="shared" si="0"/>
        <v>40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>
        <f t="shared" si="1"/>
        <v>0</v>
      </c>
    </row>
    <row r="42" spans="1:16" x14ac:dyDescent="0.25">
      <c r="A42" s="2">
        <f t="shared" si="0"/>
        <v>41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>
        <f t="shared" si="1"/>
        <v>0</v>
      </c>
    </row>
    <row r="43" spans="1:16" x14ac:dyDescent="0.25">
      <c r="A43" s="2">
        <f t="shared" si="0"/>
        <v>42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>
        <f t="shared" si="1"/>
        <v>0</v>
      </c>
    </row>
    <row r="44" spans="1:16" x14ac:dyDescent="0.25">
      <c r="A44" s="2">
        <f t="shared" si="0"/>
        <v>43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>
        <f t="shared" si="1"/>
        <v>0</v>
      </c>
    </row>
    <row r="45" spans="1:16" x14ac:dyDescent="0.25">
      <c r="A45" s="2">
        <f t="shared" si="0"/>
        <v>44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>
        <f t="shared" si="1"/>
        <v>0</v>
      </c>
    </row>
    <row r="46" spans="1:16" x14ac:dyDescent="0.25">
      <c r="A46" s="2">
        <f t="shared" si="0"/>
        <v>45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>
        <f t="shared" si="1"/>
        <v>0</v>
      </c>
    </row>
    <row r="47" spans="1:16" x14ac:dyDescent="0.25">
      <c r="A47" s="2">
        <f t="shared" si="0"/>
        <v>46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>
        <f t="shared" si="1"/>
        <v>0</v>
      </c>
    </row>
    <row r="48" spans="1:16" x14ac:dyDescent="0.25">
      <c r="A48" s="2">
        <f t="shared" si="0"/>
        <v>47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>
        <f t="shared" si="1"/>
        <v>0</v>
      </c>
    </row>
    <row r="49" spans="1:16" x14ac:dyDescent="0.25">
      <c r="A49" s="2">
        <f t="shared" si="0"/>
        <v>48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>
        <f t="shared" si="1"/>
        <v>0</v>
      </c>
    </row>
    <row r="50" spans="1:16" x14ac:dyDescent="0.25">
      <c r="A50" s="2">
        <f t="shared" si="0"/>
        <v>49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>
        <f t="shared" si="1"/>
        <v>0</v>
      </c>
    </row>
    <row r="51" spans="1:16" x14ac:dyDescent="0.25">
      <c r="A51" s="2">
        <f t="shared" si="0"/>
        <v>50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>
        <f t="shared" si="1"/>
        <v>0</v>
      </c>
    </row>
    <row r="52" spans="1:16" x14ac:dyDescent="0.25">
      <c r="A52" s="2">
        <f t="shared" si="0"/>
        <v>51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>
        <f t="shared" si="1"/>
        <v>0</v>
      </c>
    </row>
    <row r="53" spans="1:16" x14ac:dyDescent="0.25">
      <c r="A53" s="2">
        <f t="shared" si="0"/>
        <v>52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>
        <f t="shared" si="1"/>
        <v>0</v>
      </c>
    </row>
    <row r="54" spans="1:16" x14ac:dyDescent="0.25">
      <c r="A54" s="2">
        <f t="shared" si="0"/>
        <v>53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>
        <f t="shared" si="1"/>
        <v>0</v>
      </c>
    </row>
    <row r="55" spans="1:16" x14ac:dyDescent="0.25">
      <c r="A55" s="2">
        <f t="shared" si="0"/>
        <v>54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>
        <f t="shared" si="1"/>
        <v>0</v>
      </c>
    </row>
    <row r="56" spans="1:16" x14ac:dyDescent="0.25">
      <c r="A56" s="2">
        <f t="shared" si="0"/>
        <v>55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>
        <f t="shared" si="1"/>
        <v>0</v>
      </c>
    </row>
    <row r="57" spans="1:16" x14ac:dyDescent="0.25">
      <c r="A57" s="2">
        <f t="shared" si="0"/>
        <v>56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>
        <f t="shared" si="1"/>
        <v>0</v>
      </c>
    </row>
    <row r="58" spans="1:16" x14ac:dyDescent="0.25">
      <c r="A58" s="2">
        <f t="shared" si="0"/>
        <v>57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>
        <f t="shared" si="1"/>
        <v>0</v>
      </c>
    </row>
    <row r="59" spans="1:16" x14ac:dyDescent="0.25">
      <c r="A59" s="2">
        <f t="shared" si="0"/>
        <v>58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>
        <f t="shared" si="1"/>
        <v>0</v>
      </c>
    </row>
    <row r="60" spans="1:16" x14ac:dyDescent="0.25">
      <c r="A60" s="2">
        <f t="shared" si="0"/>
        <v>59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>
        <f t="shared" si="1"/>
        <v>0</v>
      </c>
    </row>
    <row r="61" spans="1:16" x14ac:dyDescent="0.25">
      <c r="A61" s="2">
        <f t="shared" si="0"/>
        <v>60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>
        <f t="shared" si="1"/>
        <v>0</v>
      </c>
    </row>
    <row r="62" spans="1:16" x14ac:dyDescent="0.25">
      <c r="A62" s="2">
        <f t="shared" si="0"/>
        <v>61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>
        <f t="shared" si="1"/>
        <v>0</v>
      </c>
    </row>
    <row r="63" spans="1:16" x14ac:dyDescent="0.25">
      <c r="A63" s="2">
        <f t="shared" ref="A63:A100" si="2">ROW(A63)-1</f>
        <v>62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>
        <f t="shared" ref="P63:P126" si="3">((F63*2)+(G63)+(H63*2)+(I63*2)+(J63*5)+(K63*3)+(L63*3)+(M63*3)+(N63*3)+(O63*2))/26</f>
        <v>0</v>
      </c>
    </row>
    <row r="64" spans="1:16" x14ac:dyDescent="0.25">
      <c r="A64" s="2">
        <f t="shared" si="2"/>
        <v>63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>
        <f t="shared" si="3"/>
        <v>0</v>
      </c>
    </row>
    <row r="65" spans="1:16" x14ac:dyDescent="0.25">
      <c r="A65" s="2">
        <f t="shared" si="2"/>
        <v>64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>
        <f t="shared" si="3"/>
        <v>0</v>
      </c>
    </row>
    <row r="66" spans="1:16" x14ac:dyDescent="0.25">
      <c r="A66" s="2">
        <f t="shared" si="2"/>
        <v>65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>
        <f t="shared" si="3"/>
        <v>0</v>
      </c>
    </row>
    <row r="67" spans="1:16" x14ac:dyDescent="0.25">
      <c r="A67" s="2">
        <f t="shared" si="2"/>
        <v>66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>
        <f t="shared" si="3"/>
        <v>0</v>
      </c>
    </row>
    <row r="68" spans="1:16" x14ac:dyDescent="0.25">
      <c r="A68" s="2">
        <f t="shared" si="2"/>
        <v>67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>
        <f t="shared" si="3"/>
        <v>0</v>
      </c>
    </row>
    <row r="69" spans="1:16" x14ac:dyDescent="0.25">
      <c r="A69" s="2">
        <f t="shared" si="2"/>
        <v>68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>
        <f t="shared" si="3"/>
        <v>0</v>
      </c>
    </row>
    <row r="70" spans="1:16" x14ac:dyDescent="0.25">
      <c r="A70" s="2">
        <f t="shared" si="2"/>
        <v>69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>
        <f t="shared" si="3"/>
        <v>0</v>
      </c>
    </row>
    <row r="71" spans="1:16" x14ac:dyDescent="0.25">
      <c r="A71" s="2">
        <f t="shared" si="2"/>
        <v>70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>
        <f t="shared" si="3"/>
        <v>0</v>
      </c>
    </row>
    <row r="72" spans="1:16" x14ac:dyDescent="0.25">
      <c r="A72" s="2">
        <f t="shared" si="2"/>
        <v>71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>
        <f t="shared" si="3"/>
        <v>0</v>
      </c>
    </row>
    <row r="73" spans="1:16" x14ac:dyDescent="0.25">
      <c r="A73" s="2">
        <f t="shared" si="2"/>
        <v>72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>
        <f t="shared" si="3"/>
        <v>0</v>
      </c>
    </row>
    <row r="74" spans="1:16" x14ac:dyDescent="0.25">
      <c r="A74" s="2">
        <f t="shared" si="2"/>
        <v>73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>
        <f t="shared" si="3"/>
        <v>0</v>
      </c>
    </row>
    <row r="75" spans="1:16" x14ac:dyDescent="0.25">
      <c r="A75" s="2">
        <f t="shared" si="2"/>
        <v>74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>
        <f t="shared" si="3"/>
        <v>0</v>
      </c>
    </row>
    <row r="76" spans="1:16" x14ac:dyDescent="0.25">
      <c r="A76" s="2">
        <f t="shared" si="2"/>
        <v>75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>
        <f t="shared" si="3"/>
        <v>0</v>
      </c>
    </row>
    <row r="77" spans="1:16" x14ac:dyDescent="0.25">
      <c r="A77" s="2">
        <f t="shared" si="2"/>
        <v>76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>
        <f t="shared" si="3"/>
        <v>0</v>
      </c>
    </row>
    <row r="78" spans="1:16" x14ac:dyDescent="0.25">
      <c r="A78" s="2">
        <f t="shared" si="2"/>
        <v>77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>
        <f t="shared" si="3"/>
        <v>0</v>
      </c>
    </row>
    <row r="79" spans="1:16" x14ac:dyDescent="0.25">
      <c r="A79" s="2">
        <f t="shared" si="2"/>
        <v>78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>
        <f t="shared" si="3"/>
        <v>0</v>
      </c>
    </row>
    <row r="80" spans="1:16" x14ac:dyDescent="0.25">
      <c r="A80" s="2">
        <f t="shared" si="2"/>
        <v>79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>
        <f t="shared" si="3"/>
        <v>0</v>
      </c>
    </row>
    <row r="81" spans="1:16" x14ac:dyDescent="0.25">
      <c r="A81" s="2">
        <f t="shared" si="2"/>
        <v>80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>
        <f t="shared" si="3"/>
        <v>0</v>
      </c>
    </row>
    <row r="82" spans="1:16" x14ac:dyDescent="0.25">
      <c r="A82" s="2">
        <f t="shared" si="2"/>
        <v>81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>
        <f t="shared" si="3"/>
        <v>0</v>
      </c>
    </row>
    <row r="83" spans="1:16" x14ac:dyDescent="0.25">
      <c r="A83" s="2">
        <f t="shared" si="2"/>
        <v>82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>
        <f t="shared" si="3"/>
        <v>0</v>
      </c>
    </row>
    <row r="84" spans="1:16" x14ac:dyDescent="0.25">
      <c r="A84" s="2">
        <f t="shared" si="2"/>
        <v>83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>
        <f t="shared" si="3"/>
        <v>0</v>
      </c>
    </row>
    <row r="85" spans="1:16" x14ac:dyDescent="0.25">
      <c r="A85" s="2">
        <f t="shared" si="2"/>
        <v>84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>
        <f t="shared" si="3"/>
        <v>0</v>
      </c>
    </row>
    <row r="86" spans="1:16" x14ac:dyDescent="0.25">
      <c r="A86" s="2">
        <f t="shared" si="2"/>
        <v>85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>
        <f t="shared" si="3"/>
        <v>0</v>
      </c>
    </row>
    <row r="87" spans="1:16" x14ac:dyDescent="0.25">
      <c r="A87" s="2">
        <f t="shared" si="2"/>
        <v>86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>
        <f t="shared" si="3"/>
        <v>0</v>
      </c>
    </row>
    <row r="88" spans="1:16" x14ac:dyDescent="0.25">
      <c r="A88" s="2">
        <f t="shared" si="2"/>
        <v>87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>
        <f t="shared" si="3"/>
        <v>0</v>
      </c>
    </row>
    <row r="89" spans="1:16" x14ac:dyDescent="0.25">
      <c r="A89" s="2">
        <f t="shared" si="2"/>
        <v>88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>
        <f t="shared" si="3"/>
        <v>0</v>
      </c>
    </row>
    <row r="90" spans="1:16" x14ac:dyDescent="0.25">
      <c r="A90" s="2">
        <f t="shared" si="2"/>
        <v>89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>
        <f t="shared" si="3"/>
        <v>0</v>
      </c>
    </row>
    <row r="91" spans="1:16" x14ac:dyDescent="0.25">
      <c r="A91" s="2">
        <f t="shared" si="2"/>
        <v>90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>
        <f t="shared" si="3"/>
        <v>0</v>
      </c>
    </row>
    <row r="92" spans="1:16" x14ac:dyDescent="0.25">
      <c r="A92" s="2">
        <f t="shared" si="2"/>
        <v>91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>
        <f t="shared" si="3"/>
        <v>0</v>
      </c>
    </row>
    <row r="93" spans="1:16" x14ac:dyDescent="0.25">
      <c r="A93" s="2">
        <f t="shared" si="2"/>
        <v>92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>
        <f t="shared" si="3"/>
        <v>0</v>
      </c>
    </row>
    <row r="94" spans="1:16" x14ac:dyDescent="0.25">
      <c r="A94" s="2">
        <f t="shared" si="2"/>
        <v>93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>
        <f t="shared" si="3"/>
        <v>0</v>
      </c>
    </row>
    <row r="95" spans="1:16" x14ac:dyDescent="0.25">
      <c r="A95" s="2">
        <f t="shared" si="2"/>
        <v>94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>
        <f t="shared" si="3"/>
        <v>0</v>
      </c>
    </row>
    <row r="96" spans="1:16" x14ac:dyDescent="0.25">
      <c r="A96" s="2">
        <f t="shared" si="2"/>
        <v>95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>
        <f t="shared" si="3"/>
        <v>0</v>
      </c>
    </row>
    <row r="97" spans="1:16" x14ac:dyDescent="0.25">
      <c r="A97" s="2">
        <f t="shared" si="2"/>
        <v>96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>
        <f t="shared" si="3"/>
        <v>0</v>
      </c>
    </row>
    <row r="98" spans="1:16" x14ac:dyDescent="0.25">
      <c r="A98" s="2">
        <f t="shared" si="2"/>
        <v>97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>
        <f t="shared" si="3"/>
        <v>0</v>
      </c>
    </row>
    <row r="99" spans="1:16" x14ac:dyDescent="0.25">
      <c r="A99" s="2">
        <f t="shared" si="2"/>
        <v>98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>
        <f t="shared" si="3"/>
        <v>0</v>
      </c>
    </row>
    <row r="100" spans="1:16" x14ac:dyDescent="0.25">
      <c r="A100" s="2">
        <f t="shared" si="2"/>
        <v>99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>
        <f t="shared" si="3"/>
        <v>0</v>
      </c>
    </row>
    <row r="101" spans="1:16" x14ac:dyDescent="0.25">
      <c r="A101" s="2">
        <v>104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>
        <f t="shared" si="3"/>
        <v>0</v>
      </c>
    </row>
    <row r="102" spans="1:16" x14ac:dyDescent="0.25">
      <c r="A102" s="2">
        <v>105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>
        <f t="shared" si="3"/>
        <v>0</v>
      </c>
    </row>
    <row r="103" spans="1:16" x14ac:dyDescent="0.25">
      <c r="A103" s="2">
        <v>106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>
        <f t="shared" si="3"/>
        <v>0</v>
      </c>
    </row>
    <row r="104" spans="1:16" x14ac:dyDescent="0.25">
      <c r="A104" s="2">
        <v>107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>
        <f t="shared" si="3"/>
        <v>0</v>
      </c>
    </row>
    <row r="105" spans="1:16" x14ac:dyDescent="0.25">
      <c r="A105" s="2">
        <v>108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>
        <f t="shared" si="3"/>
        <v>0</v>
      </c>
    </row>
    <row r="106" spans="1:16" x14ac:dyDescent="0.25">
      <c r="A106" s="2">
        <v>109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>
        <f t="shared" si="3"/>
        <v>0</v>
      </c>
    </row>
    <row r="107" spans="1:16" x14ac:dyDescent="0.25">
      <c r="A107" s="2">
        <v>110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>
        <f t="shared" si="3"/>
        <v>0</v>
      </c>
    </row>
    <row r="108" spans="1:16" x14ac:dyDescent="0.25">
      <c r="A108" s="2">
        <v>111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>
        <f t="shared" si="3"/>
        <v>0</v>
      </c>
    </row>
    <row r="109" spans="1:16" x14ac:dyDescent="0.25">
      <c r="A109" s="2">
        <v>112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>
        <f t="shared" si="3"/>
        <v>0</v>
      </c>
    </row>
    <row r="110" spans="1:16" x14ac:dyDescent="0.25">
      <c r="A110" s="2">
        <v>113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>
        <f t="shared" si="3"/>
        <v>0</v>
      </c>
    </row>
    <row r="111" spans="1:16" x14ac:dyDescent="0.25">
      <c r="A111" s="2">
        <v>114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>
        <f t="shared" si="3"/>
        <v>0</v>
      </c>
    </row>
    <row r="112" spans="1:16" x14ac:dyDescent="0.25">
      <c r="A112" s="2">
        <v>115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>
        <f t="shared" si="3"/>
        <v>0</v>
      </c>
    </row>
    <row r="113" spans="1:16" x14ac:dyDescent="0.25">
      <c r="A113" s="2">
        <v>116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>
        <f t="shared" si="3"/>
        <v>0</v>
      </c>
    </row>
    <row r="114" spans="1:16" x14ac:dyDescent="0.25">
      <c r="A114" s="2">
        <v>117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>
        <f t="shared" si="3"/>
        <v>0</v>
      </c>
    </row>
    <row r="115" spans="1:16" x14ac:dyDescent="0.25">
      <c r="A115" s="2">
        <v>118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>
        <f t="shared" si="3"/>
        <v>0</v>
      </c>
    </row>
    <row r="116" spans="1:16" x14ac:dyDescent="0.25">
      <c r="A116" s="2">
        <v>119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>
        <f t="shared" si="3"/>
        <v>0</v>
      </c>
    </row>
    <row r="117" spans="1:16" x14ac:dyDescent="0.25">
      <c r="A117" s="2">
        <v>120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>
        <f t="shared" si="3"/>
        <v>0</v>
      </c>
    </row>
    <row r="118" spans="1:16" x14ac:dyDescent="0.25">
      <c r="A118" s="2">
        <v>121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>
        <f t="shared" si="3"/>
        <v>0</v>
      </c>
    </row>
    <row r="119" spans="1:16" x14ac:dyDescent="0.25">
      <c r="A119" s="2">
        <v>122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>
        <f t="shared" si="3"/>
        <v>0</v>
      </c>
    </row>
    <row r="120" spans="1:16" x14ac:dyDescent="0.25">
      <c r="A120" s="2">
        <v>123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>
        <f t="shared" si="3"/>
        <v>0</v>
      </c>
    </row>
    <row r="121" spans="1:16" x14ac:dyDescent="0.25">
      <c r="A121" s="2">
        <v>124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>
        <f t="shared" si="3"/>
        <v>0</v>
      </c>
    </row>
    <row r="122" spans="1:16" x14ac:dyDescent="0.25">
      <c r="A122" s="2">
        <v>125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>
        <f t="shared" si="3"/>
        <v>0</v>
      </c>
    </row>
    <row r="123" spans="1:16" x14ac:dyDescent="0.25">
      <c r="A123" s="2">
        <v>126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>
        <f t="shared" si="3"/>
        <v>0</v>
      </c>
    </row>
    <row r="124" spans="1:16" x14ac:dyDescent="0.25">
      <c r="A124" s="2">
        <v>127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>
        <f t="shared" si="3"/>
        <v>0</v>
      </c>
    </row>
    <row r="125" spans="1:16" x14ac:dyDescent="0.25">
      <c r="A125" s="2">
        <v>128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>
        <f t="shared" si="3"/>
        <v>0</v>
      </c>
    </row>
    <row r="126" spans="1:16" x14ac:dyDescent="0.25">
      <c r="A126" s="2">
        <v>129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>
        <f t="shared" si="3"/>
        <v>0</v>
      </c>
    </row>
    <row r="127" spans="1:16" x14ac:dyDescent="0.25">
      <c r="A127" s="2">
        <v>130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>
        <f t="shared" ref="P127:P190" si="4">((F127*2)+(G127)+(H127*2)+(I127*2)+(J127*5)+(K127*3)+(L127*3)+(M127*3)+(N127*3)+(O127*2))/26</f>
        <v>0</v>
      </c>
    </row>
    <row r="128" spans="1:16" x14ac:dyDescent="0.25">
      <c r="A128" s="2">
        <v>131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>
        <f t="shared" si="4"/>
        <v>0</v>
      </c>
    </row>
    <row r="129" spans="1:16" x14ac:dyDescent="0.25">
      <c r="A129" s="2">
        <v>132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>
        <f t="shared" si="4"/>
        <v>0</v>
      </c>
    </row>
    <row r="130" spans="1:16" x14ac:dyDescent="0.25">
      <c r="A130" s="2">
        <v>133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>
        <f t="shared" si="4"/>
        <v>0</v>
      </c>
    </row>
    <row r="131" spans="1:16" x14ac:dyDescent="0.25">
      <c r="A131" s="2">
        <v>134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>
        <f t="shared" si="4"/>
        <v>0</v>
      </c>
    </row>
    <row r="132" spans="1:16" x14ac:dyDescent="0.25">
      <c r="A132" s="2">
        <v>135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>
        <f t="shared" si="4"/>
        <v>0</v>
      </c>
    </row>
    <row r="133" spans="1:16" x14ac:dyDescent="0.25">
      <c r="A133" s="2">
        <v>136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>
        <f t="shared" si="4"/>
        <v>0</v>
      </c>
    </row>
    <row r="134" spans="1:16" x14ac:dyDescent="0.25">
      <c r="A134" s="2">
        <v>137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>
        <f t="shared" si="4"/>
        <v>0</v>
      </c>
    </row>
    <row r="135" spans="1:16" x14ac:dyDescent="0.25">
      <c r="A135" s="2">
        <v>138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>
        <f t="shared" si="4"/>
        <v>0</v>
      </c>
    </row>
    <row r="136" spans="1:16" x14ac:dyDescent="0.25">
      <c r="A136" s="2">
        <v>139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>
        <f t="shared" si="4"/>
        <v>0</v>
      </c>
    </row>
    <row r="137" spans="1:16" x14ac:dyDescent="0.25">
      <c r="A137" s="2">
        <v>140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>
        <f t="shared" si="4"/>
        <v>0</v>
      </c>
    </row>
    <row r="138" spans="1:16" x14ac:dyDescent="0.25">
      <c r="A138" s="2">
        <v>141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>
        <f t="shared" si="4"/>
        <v>0</v>
      </c>
    </row>
    <row r="139" spans="1:16" x14ac:dyDescent="0.25">
      <c r="A139" s="2">
        <v>142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>
        <f t="shared" si="4"/>
        <v>0</v>
      </c>
    </row>
    <row r="140" spans="1:16" x14ac:dyDescent="0.25">
      <c r="A140" s="2">
        <v>143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>
        <f t="shared" si="4"/>
        <v>0</v>
      </c>
    </row>
    <row r="141" spans="1:16" x14ac:dyDescent="0.25">
      <c r="A141" s="2">
        <v>144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>
        <f t="shared" si="4"/>
        <v>0</v>
      </c>
    </row>
    <row r="142" spans="1:16" x14ac:dyDescent="0.25">
      <c r="A142" s="2">
        <v>145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>
        <f t="shared" si="4"/>
        <v>0</v>
      </c>
    </row>
    <row r="143" spans="1:16" x14ac:dyDescent="0.25">
      <c r="A143" s="2">
        <v>146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>
        <f t="shared" si="4"/>
        <v>0</v>
      </c>
    </row>
    <row r="144" spans="1:16" x14ac:dyDescent="0.25">
      <c r="A144" s="2">
        <v>147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>
        <f t="shared" si="4"/>
        <v>0</v>
      </c>
    </row>
    <row r="145" spans="1:16" x14ac:dyDescent="0.25">
      <c r="A145" s="2">
        <v>148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>
        <f t="shared" si="4"/>
        <v>0</v>
      </c>
    </row>
    <row r="146" spans="1:16" x14ac:dyDescent="0.25">
      <c r="A146" s="2">
        <v>149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>
        <f t="shared" si="4"/>
        <v>0</v>
      </c>
    </row>
    <row r="147" spans="1:16" x14ac:dyDescent="0.25">
      <c r="A147" s="2">
        <v>150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>
        <f t="shared" si="4"/>
        <v>0</v>
      </c>
    </row>
    <row r="148" spans="1:16" x14ac:dyDescent="0.25">
      <c r="A148" s="2">
        <v>151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>
        <f t="shared" si="4"/>
        <v>0</v>
      </c>
    </row>
    <row r="149" spans="1:16" x14ac:dyDescent="0.25">
      <c r="A149" s="2">
        <v>152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>
        <f t="shared" si="4"/>
        <v>0</v>
      </c>
    </row>
    <row r="150" spans="1:16" x14ac:dyDescent="0.25">
      <c r="A150" s="2">
        <v>153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>
        <f t="shared" si="4"/>
        <v>0</v>
      </c>
    </row>
    <row r="151" spans="1:16" x14ac:dyDescent="0.25">
      <c r="A151" s="2">
        <v>154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>
        <f t="shared" si="4"/>
        <v>0</v>
      </c>
    </row>
    <row r="152" spans="1:16" x14ac:dyDescent="0.25">
      <c r="A152" s="2">
        <v>155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>
        <f t="shared" si="4"/>
        <v>0</v>
      </c>
    </row>
    <row r="153" spans="1:16" x14ac:dyDescent="0.25">
      <c r="A153" s="2">
        <v>156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>
        <f t="shared" si="4"/>
        <v>0</v>
      </c>
    </row>
    <row r="154" spans="1:16" x14ac:dyDescent="0.25">
      <c r="A154" s="2">
        <v>157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>
        <f t="shared" si="4"/>
        <v>0</v>
      </c>
    </row>
    <row r="155" spans="1:16" x14ac:dyDescent="0.25">
      <c r="A155" s="2">
        <v>158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>
        <f t="shared" si="4"/>
        <v>0</v>
      </c>
    </row>
    <row r="156" spans="1:16" x14ac:dyDescent="0.25">
      <c r="A156" s="2">
        <v>159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>
        <f t="shared" si="4"/>
        <v>0</v>
      </c>
    </row>
    <row r="157" spans="1:16" x14ac:dyDescent="0.25">
      <c r="A157" s="2">
        <v>160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>
        <f t="shared" si="4"/>
        <v>0</v>
      </c>
    </row>
    <row r="158" spans="1:16" x14ac:dyDescent="0.25">
      <c r="A158" s="2">
        <v>161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>
        <f t="shared" si="4"/>
        <v>0</v>
      </c>
    </row>
    <row r="159" spans="1:16" x14ac:dyDescent="0.25">
      <c r="A159" s="2">
        <v>162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>
        <f t="shared" si="4"/>
        <v>0</v>
      </c>
    </row>
    <row r="160" spans="1:16" x14ac:dyDescent="0.25">
      <c r="A160" s="2">
        <v>163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>
        <f t="shared" si="4"/>
        <v>0</v>
      </c>
    </row>
    <row r="161" spans="1:16" x14ac:dyDescent="0.25">
      <c r="A161" s="2">
        <v>164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>
        <f t="shared" si="4"/>
        <v>0</v>
      </c>
    </row>
    <row r="162" spans="1:16" x14ac:dyDescent="0.25">
      <c r="A162" s="2">
        <v>165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>
        <f t="shared" si="4"/>
        <v>0</v>
      </c>
    </row>
    <row r="163" spans="1:16" x14ac:dyDescent="0.25">
      <c r="A163" s="2">
        <v>166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>
        <f t="shared" si="4"/>
        <v>0</v>
      </c>
    </row>
    <row r="164" spans="1:16" x14ac:dyDescent="0.25">
      <c r="A164" s="2">
        <v>167</v>
      </c>
      <c r="B164" s="2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2">
        <f t="shared" si="4"/>
        <v>0</v>
      </c>
    </row>
    <row r="165" spans="1:16" x14ac:dyDescent="0.25">
      <c r="A165" s="2">
        <v>168</v>
      </c>
      <c r="B165" s="2"/>
      <c r="C165" s="4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>
        <f t="shared" si="4"/>
        <v>0</v>
      </c>
    </row>
    <row r="166" spans="1:16" x14ac:dyDescent="0.25">
      <c r="A166" s="2">
        <v>169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>
        <f t="shared" si="4"/>
        <v>0</v>
      </c>
    </row>
    <row r="167" spans="1:16" x14ac:dyDescent="0.25">
      <c r="A167" s="2">
        <v>170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>
        <f t="shared" si="4"/>
        <v>0</v>
      </c>
    </row>
    <row r="168" spans="1:16" x14ac:dyDescent="0.25">
      <c r="A168" s="2">
        <v>171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>
        <f t="shared" si="4"/>
        <v>0</v>
      </c>
    </row>
    <row r="169" spans="1:16" x14ac:dyDescent="0.25">
      <c r="A169" s="2">
        <v>172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>
        <f t="shared" si="4"/>
        <v>0</v>
      </c>
    </row>
    <row r="170" spans="1:16" x14ac:dyDescent="0.25">
      <c r="A170" s="2">
        <v>173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>
        <f t="shared" si="4"/>
        <v>0</v>
      </c>
    </row>
    <row r="171" spans="1:16" x14ac:dyDescent="0.25">
      <c r="A171" s="4">
        <v>174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2">
        <f t="shared" si="4"/>
        <v>0</v>
      </c>
    </row>
    <row r="172" spans="1:16" x14ac:dyDescent="0.25">
      <c r="A172" s="2">
        <v>175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>
        <f t="shared" si="4"/>
        <v>0</v>
      </c>
    </row>
    <row r="173" spans="1:16" x14ac:dyDescent="0.25">
      <c r="A173" s="2">
        <v>176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>
        <f t="shared" si="4"/>
        <v>0</v>
      </c>
    </row>
    <row r="174" spans="1:16" x14ac:dyDescent="0.25">
      <c r="A174" s="2">
        <v>177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>
        <f t="shared" si="4"/>
        <v>0</v>
      </c>
    </row>
    <row r="175" spans="1:16" x14ac:dyDescent="0.25">
      <c r="A175" s="2">
        <v>178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>
        <f t="shared" si="4"/>
        <v>0</v>
      </c>
    </row>
    <row r="176" spans="1:16" x14ac:dyDescent="0.25">
      <c r="A176" s="2">
        <v>179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>
        <f t="shared" si="4"/>
        <v>0</v>
      </c>
    </row>
    <row r="177" spans="1:16" x14ac:dyDescent="0.25">
      <c r="A177" s="2">
        <v>180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>
        <f t="shared" si="4"/>
        <v>0</v>
      </c>
    </row>
    <row r="178" spans="1:16" x14ac:dyDescent="0.25">
      <c r="A178" s="2">
        <v>181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>
        <f t="shared" si="4"/>
        <v>0</v>
      </c>
    </row>
    <row r="179" spans="1:16" x14ac:dyDescent="0.25">
      <c r="A179" s="2">
        <v>182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>
        <f t="shared" si="4"/>
        <v>0</v>
      </c>
    </row>
    <row r="180" spans="1:16" x14ac:dyDescent="0.25">
      <c r="A180" s="2">
        <v>183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>
        <f t="shared" si="4"/>
        <v>0</v>
      </c>
    </row>
    <row r="181" spans="1:16" x14ac:dyDescent="0.25">
      <c r="A181" s="2">
        <v>184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>
        <f t="shared" si="4"/>
        <v>0</v>
      </c>
    </row>
    <row r="182" spans="1:16" x14ac:dyDescent="0.25">
      <c r="A182" s="2">
        <v>185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>
        <f t="shared" si="4"/>
        <v>0</v>
      </c>
    </row>
    <row r="183" spans="1:16" x14ac:dyDescent="0.25">
      <c r="A183" s="2">
        <v>186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>
        <f t="shared" si="4"/>
        <v>0</v>
      </c>
    </row>
    <row r="184" spans="1:16" x14ac:dyDescent="0.25">
      <c r="A184" s="2">
        <v>187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>
        <f t="shared" si="4"/>
        <v>0</v>
      </c>
    </row>
    <row r="185" spans="1:16" x14ac:dyDescent="0.25">
      <c r="A185" s="2">
        <v>188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>
        <f t="shared" si="4"/>
        <v>0</v>
      </c>
    </row>
    <row r="186" spans="1:16" x14ac:dyDescent="0.25">
      <c r="A186" s="2">
        <v>189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>
        <f t="shared" si="4"/>
        <v>0</v>
      </c>
    </row>
    <row r="187" spans="1:16" x14ac:dyDescent="0.25">
      <c r="A187" s="2">
        <v>190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>
        <f t="shared" si="4"/>
        <v>0</v>
      </c>
    </row>
    <row r="188" spans="1:16" x14ac:dyDescent="0.25">
      <c r="A188" s="2">
        <v>191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>
        <f t="shared" si="4"/>
        <v>0</v>
      </c>
    </row>
    <row r="189" spans="1:16" x14ac:dyDescent="0.25">
      <c r="A189" s="2">
        <v>192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>
        <f t="shared" si="4"/>
        <v>0</v>
      </c>
    </row>
    <row r="190" spans="1:16" x14ac:dyDescent="0.25">
      <c r="A190" s="2">
        <v>193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>
        <f t="shared" si="4"/>
        <v>0</v>
      </c>
    </row>
  </sheetData>
  <pageMargins left="0.25" right="0.25" top="0.75" bottom="0.75" header="0.3" footer="0.3"/>
  <pageSetup paperSize="9" scale="83" fitToHeight="0" orientation="landscape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2145B42-C37C-4358-A35E-489443377F25}">
          <x14:formula1>
            <xm:f>مرجع!$AE$2:$AE$6</xm:f>
          </x14:formula1>
          <xm:sqref>F2:O10 F12:O1048576</xm:sqref>
        </x14:dataValidation>
        <x14:dataValidation type="list" allowBlank="1" showInputMessage="1" showErrorMessage="1" xr:uid="{16637172-8396-44C7-B467-7A1122D0A74C}">
          <x14:formula1>
            <xm:f>مرجع!$C$2:$C$5</xm:f>
          </x14:formula1>
          <xm:sqref>B2:B1048576</xm:sqref>
        </x14:dataValidation>
        <x14:dataValidation type="list" allowBlank="1" showInputMessage="1" showErrorMessage="1" xr:uid="{332F8FBC-16FA-4EFD-85C2-EC7E658133FE}">
          <x14:formula1>
            <xm:f>مرجع!$F$2:$F$13</xm:f>
          </x14:formula1>
          <xm:sqref>C2:C1048576</xm:sqref>
        </x14:dataValidation>
        <x14:dataValidation type="list" allowBlank="1" showInputMessage="1" showErrorMessage="1" xr:uid="{4813D7C8-8002-4737-B2F5-F4D15620CD81}">
          <x14:formula1>
            <xm:f>مرجع!$D$2:$D$6</xm:f>
          </x14:formula1>
          <xm:sqref>D2:D1048576</xm:sqref>
        </x14:dataValidation>
        <x14:dataValidation type="list" allowBlank="1" showInputMessage="1" showErrorMessage="1" xr:uid="{A169FBA8-D8B7-48C3-B9CF-9246AF212FE1}">
          <x14:formula1>
            <xm:f>مرجع!$J$2:$J$14</xm:f>
          </x14:formula1>
          <xm:sqref>E2:E1048576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CE288-9F6A-4818-ABD4-940503A7C0F7}">
  <sheetPr>
    <pageSetUpPr fitToPage="1"/>
  </sheetPr>
  <dimension ref="A1:N111"/>
  <sheetViews>
    <sheetView rightToLeft="1" topLeftCell="F1" workbookViewId="0">
      <selection activeCell="J5" sqref="J5"/>
    </sheetView>
  </sheetViews>
  <sheetFormatPr defaultRowHeight="15" x14ac:dyDescent="0.25"/>
  <cols>
    <col min="1" max="4" width="9.140625" style="3"/>
    <col min="5" max="5" width="19.7109375" style="3" customWidth="1"/>
    <col min="6" max="6" width="25.28515625" style="3" bestFit="1" customWidth="1"/>
    <col min="7" max="7" width="12.7109375" style="3" bestFit="1" customWidth="1"/>
    <col min="8" max="8" width="15.85546875" style="3" bestFit="1" customWidth="1"/>
    <col min="9" max="9" width="10.42578125" style="3" bestFit="1" customWidth="1"/>
    <col min="10" max="10" width="15.42578125" style="3" bestFit="1" customWidth="1"/>
    <col min="11" max="11" width="18.140625" style="3" bestFit="1" customWidth="1"/>
    <col min="12" max="12" width="43.140625" style="3" bestFit="1" customWidth="1"/>
    <col min="13" max="13" width="18.140625" style="3" customWidth="1"/>
    <col min="14" max="14" width="9.140625" style="3"/>
  </cols>
  <sheetData>
    <row r="1" spans="1:14" ht="22.5" x14ac:dyDescent="0.55000000000000004">
      <c r="A1" s="1" t="s">
        <v>483</v>
      </c>
      <c r="B1" s="1" t="s">
        <v>484</v>
      </c>
      <c r="C1" s="1" t="s">
        <v>485</v>
      </c>
      <c r="D1" s="1" t="s">
        <v>486</v>
      </c>
      <c r="E1" s="1" t="s">
        <v>487</v>
      </c>
      <c r="F1" s="1" t="s">
        <v>493</v>
      </c>
      <c r="G1" s="1" t="s">
        <v>499</v>
      </c>
      <c r="H1" s="1" t="s">
        <v>500</v>
      </c>
      <c r="I1" s="1" t="s">
        <v>494</v>
      </c>
      <c r="J1" s="1" t="s">
        <v>495</v>
      </c>
      <c r="K1" s="1" t="s">
        <v>492</v>
      </c>
      <c r="L1" s="1" t="s">
        <v>501</v>
      </c>
      <c r="M1" s="1" t="s">
        <v>502</v>
      </c>
      <c r="N1" s="1" t="s">
        <v>498</v>
      </c>
    </row>
    <row r="2" spans="1:14" x14ac:dyDescent="0.25">
      <c r="A2" s="2">
        <f>ROW(A2)-1</f>
        <v>1</v>
      </c>
      <c r="B2" s="2">
        <v>1405</v>
      </c>
      <c r="C2" s="2" t="s">
        <v>54</v>
      </c>
      <c r="D2" s="2">
        <v>2</v>
      </c>
      <c r="E2" s="2" t="s">
        <v>23</v>
      </c>
      <c r="F2" s="2">
        <v>4</v>
      </c>
      <c r="G2" s="2">
        <v>4</v>
      </c>
      <c r="H2" s="2">
        <v>5</v>
      </c>
      <c r="I2" s="2">
        <v>5</v>
      </c>
      <c r="J2" s="2">
        <v>5</v>
      </c>
      <c r="K2" s="2">
        <v>5</v>
      </c>
      <c r="L2" s="2">
        <v>4</v>
      </c>
      <c r="M2" s="2">
        <v>4</v>
      </c>
      <c r="N2" s="2">
        <f>((F2*2)+(G2)+(H2*3)+(I2*2)+(J2*2)+(K2*3)+(L2)+(M2))/15</f>
        <v>4.666666666666667</v>
      </c>
    </row>
    <row r="3" spans="1:14" x14ac:dyDescent="0.25">
      <c r="A3" s="2">
        <f t="shared" ref="A3:A66" si="0">ROW(A3)-1</f>
        <v>2</v>
      </c>
      <c r="B3" s="2">
        <v>1405</v>
      </c>
      <c r="C3" s="2" t="s">
        <v>54</v>
      </c>
      <c r="D3" s="2">
        <v>2</v>
      </c>
      <c r="E3" s="2" t="s">
        <v>56</v>
      </c>
      <c r="F3" s="2">
        <v>5</v>
      </c>
      <c r="G3" s="2">
        <v>5</v>
      </c>
      <c r="H3" s="2">
        <v>5</v>
      </c>
      <c r="I3" s="2">
        <v>5</v>
      </c>
      <c r="J3" s="2">
        <v>5</v>
      </c>
      <c r="K3" s="2">
        <v>5</v>
      </c>
      <c r="L3" s="2">
        <v>4</v>
      </c>
      <c r="M3" s="2">
        <v>4</v>
      </c>
      <c r="N3" s="2">
        <f t="shared" ref="N3:N66" si="1">((F3*2)+(G3)+(H3*3)+(I3*2)+(J3*2)+(K3*3)+(L3)+(M3))/15</f>
        <v>4.8666666666666663</v>
      </c>
    </row>
    <row r="4" spans="1:14" x14ac:dyDescent="0.25">
      <c r="A4" s="2">
        <f t="shared" si="0"/>
        <v>3</v>
      </c>
      <c r="B4" s="2">
        <v>1405</v>
      </c>
      <c r="C4" s="2" t="s">
        <v>54</v>
      </c>
      <c r="D4" s="2">
        <v>2</v>
      </c>
      <c r="E4" s="2" t="s">
        <v>471</v>
      </c>
      <c r="F4" s="2">
        <v>5</v>
      </c>
      <c r="G4" s="2">
        <v>5</v>
      </c>
      <c r="H4" s="2">
        <v>5</v>
      </c>
      <c r="I4" s="2">
        <v>4</v>
      </c>
      <c r="J4" s="2">
        <v>5</v>
      </c>
      <c r="K4" s="2">
        <v>5</v>
      </c>
      <c r="L4" s="2">
        <v>5</v>
      </c>
      <c r="M4" s="2">
        <v>4</v>
      </c>
      <c r="N4" s="2">
        <f t="shared" si="1"/>
        <v>4.8</v>
      </c>
    </row>
    <row r="5" spans="1:14" x14ac:dyDescent="0.25">
      <c r="A5" s="2">
        <f t="shared" si="0"/>
        <v>4</v>
      </c>
      <c r="B5" s="2">
        <v>1405</v>
      </c>
      <c r="C5" s="2" t="s">
        <v>54</v>
      </c>
      <c r="D5" s="2">
        <v>2</v>
      </c>
      <c r="E5" s="2" t="s">
        <v>472</v>
      </c>
      <c r="F5" s="2">
        <v>5</v>
      </c>
      <c r="G5" s="2">
        <v>4</v>
      </c>
      <c r="H5" s="2">
        <v>4</v>
      </c>
      <c r="I5" s="2">
        <v>3</v>
      </c>
      <c r="J5" s="2">
        <v>4</v>
      </c>
      <c r="K5" s="2">
        <v>5</v>
      </c>
      <c r="L5" s="2">
        <v>3</v>
      </c>
      <c r="M5" s="2">
        <v>4</v>
      </c>
      <c r="N5" s="2">
        <f t="shared" si="1"/>
        <v>4.1333333333333337</v>
      </c>
    </row>
    <row r="6" spans="1:14" x14ac:dyDescent="0.25">
      <c r="A6" s="2">
        <f t="shared" si="0"/>
        <v>5</v>
      </c>
      <c r="B6" s="2">
        <v>1405</v>
      </c>
      <c r="C6" s="2" t="s">
        <v>54</v>
      </c>
      <c r="D6" s="2">
        <v>3</v>
      </c>
      <c r="E6" s="2" t="s">
        <v>23</v>
      </c>
      <c r="F6" s="2">
        <v>4</v>
      </c>
      <c r="G6" s="2">
        <v>4</v>
      </c>
      <c r="H6" s="2">
        <v>4</v>
      </c>
      <c r="I6" s="2">
        <v>5</v>
      </c>
      <c r="J6" s="2">
        <v>5</v>
      </c>
      <c r="K6" s="2">
        <v>5</v>
      </c>
      <c r="L6" s="2">
        <v>3</v>
      </c>
      <c r="M6" s="2">
        <v>3</v>
      </c>
      <c r="N6" s="2">
        <f t="shared" si="1"/>
        <v>4.333333333333333</v>
      </c>
    </row>
    <row r="7" spans="1:14" x14ac:dyDescent="0.25">
      <c r="A7" s="2">
        <f t="shared" si="0"/>
        <v>6</v>
      </c>
      <c r="B7" s="2">
        <v>1405</v>
      </c>
      <c r="C7" s="2" t="s">
        <v>54</v>
      </c>
      <c r="D7" s="2">
        <v>3</v>
      </c>
      <c r="E7" s="2" t="s">
        <v>56</v>
      </c>
      <c r="F7" s="2">
        <v>4</v>
      </c>
      <c r="G7" s="2">
        <v>4</v>
      </c>
      <c r="H7" s="2">
        <v>4</v>
      </c>
      <c r="I7" s="2">
        <v>4</v>
      </c>
      <c r="J7" s="2">
        <v>5</v>
      </c>
      <c r="K7" s="2">
        <v>5</v>
      </c>
      <c r="L7" s="2">
        <v>5</v>
      </c>
      <c r="M7" s="2">
        <v>3</v>
      </c>
      <c r="N7" s="2">
        <f t="shared" si="1"/>
        <v>4.333333333333333</v>
      </c>
    </row>
    <row r="8" spans="1:14" x14ac:dyDescent="0.25">
      <c r="A8" s="2">
        <f t="shared" si="0"/>
        <v>7</v>
      </c>
      <c r="B8" s="2">
        <v>1405</v>
      </c>
      <c r="C8" s="2" t="s">
        <v>54</v>
      </c>
      <c r="D8" s="2">
        <v>3</v>
      </c>
      <c r="E8" s="2" t="s">
        <v>471</v>
      </c>
      <c r="F8" s="2">
        <v>4</v>
      </c>
      <c r="G8" s="2">
        <v>4</v>
      </c>
      <c r="H8" s="2">
        <v>4</v>
      </c>
      <c r="I8" s="2">
        <v>4</v>
      </c>
      <c r="J8" s="2">
        <v>5</v>
      </c>
      <c r="K8" s="2">
        <v>5</v>
      </c>
      <c r="L8" s="2">
        <v>3</v>
      </c>
      <c r="M8" s="2">
        <v>3</v>
      </c>
      <c r="N8" s="2">
        <f t="shared" si="1"/>
        <v>4.2</v>
      </c>
    </row>
    <row r="9" spans="1:14" x14ac:dyDescent="0.25">
      <c r="A9" s="2">
        <f t="shared" si="0"/>
        <v>8</v>
      </c>
      <c r="B9" s="2">
        <v>1405</v>
      </c>
      <c r="C9" s="2" t="s">
        <v>54</v>
      </c>
      <c r="D9" s="2">
        <v>3</v>
      </c>
      <c r="E9" s="2" t="s">
        <v>472</v>
      </c>
      <c r="F9" s="2">
        <v>4</v>
      </c>
      <c r="G9" s="2">
        <v>3</v>
      </c>
      <c r="H9" s="2">
        <v>2</v>
      </c>
      <c r="I9" s="2">
        <v>3</v>
      </c>
      <c r="J9" s="2">
        <v>4</v>
      </c>
      <c r="K9" s="2">
        <v>5</v>
      </c>
      <c r="L9" s="2">
        <v>1</v>
      </c>
      <c r="M9" s="2">
        <v>3</v>
      </c>
      <c r="N9" s="2">
        <f t="shared" si="1"/>
        <v>3.3333333333333335</v>
      </c>
    </row>
    <row r="10" spans="1:14" x14ac:dyDescent="0.25">
      <c r="A10" s="2">
        <f t="shared" si="0"/>
        <v>9</v>
      </c>
      <c r="B10" s="2">
        <v>1405</v>
      </c>
      <c r="C10" s="2" t="s">
        <v>54</v>
      </c>
      <c r="D10" s="2">
        <v>4</v>
      </c>
      <c r="E10" s="2" t="s">
        <v>23</v>
      </c>
      <c r="F10" s="2"/>
      <c r="G10" s="2"/>
      <c r="H10" s="2"/>
      <c r="I10" s="2"/>
      <c r="J10" s="2"/>
      <c r="K10" s="2"/>
      <c r="L10" s="2"/>
      <c r="M10" s="2"/>
      <c r="N10" s="2">
        <f t="shared" si="1"/>
        <v>0</v>
      </c>
    </row>
    <row r="11" spans="1:14" x14ac:dyDescent="0.25">
      <c r="A11" s="2">
        <f t="shared" si="0"/>
        <v>10</v>
      </c>
      <c r="B11" s="2">
        <v>1405</v>
      </c>
      <c r="C11" s="2" t="s">
        <v>54</v>
      </c>
      <c r="D11" s="2">
        <v>4</v>
      </c>
      <c r="E11" s="2" t="s">
        <v>56</v>
      </c>
      <c r="F11" s="2"/>
      <c r="G11" s="2"/>
      <c r="H11" s="2"/>
      <c r="I11" s="2"/>
      <c r="J11" s="2"/>
      <c r="K11" s="2"/>
      <c r="L11" s="2"/>
      <c r="M11" s="2"/>
      <c r="N11" s="2">
        <f t="shared" si="1"/>
        <v>0</v>
      </c>
    </row>
    <row r="12" spans="1:14" x14ac:dyDescent="0.25">
      <c r="A12" s="2">
        <f t="shared" si="0"/>
        <v>11</v>
      </c>
      <c r="B12" s="2">
        <v>1405</v>
      </c>
      <c r="C12" s="2" t="s">
        <v>54</v>
      </c>
      <c r="D12" s="2">
        <v>4</v>
      </c>
      <c r="E12" s="2" t="s">
        <v>471</v>
      </c>
      <c r="F12" s="2"/>
      <c r="G12" s="2"/>
      <c r="H12" s="2"/>
      <c r="I12" s="2"/>
      <c r="J12" s="2"/>
      <c r="K12" s="2"/>
      <c r="L12" s="2"/>
      <c r="M12" s="2"/>
      <c r="N12" s="2">
        <f t="shared" si="1"/>
        <v>0</v>
      </c>
    </row>
    <row r="13" spans="1:14" x14ac:dyDescent="0.25">
      <c r="A13" s="2">
        <f t="shared" si="0"/>
        <v>12</v>
      </c>
      <c r="B13" s="2">
        <v>1405</v>
      </c>
      <c r="C13" s="2" t="s">
        <v>54</v>
      </c>
      <c r="D13" s="2">
        <v>4</v>
      </c>
      <c r="E13" s="2" t="s">
        <v>472</v>
      </c>
      <c r="F13" s="2"/>
      <c r="G13" s="2"/>
      <c r="H13" s="2"/>
      <c r="I13" s="2"/>
      <c r="J13" s="2"/>
      <c r="K13" s="2"/>
      <c r="L13" s="2"/>
      <c r="M13" s="2"/>
      <c r="N13" s="2">
        <f t="shared" si="1"/>
        <v>0</v>
      </c>
    </row>
    <row r="14" spans="1:14" x14ac:dyDescent="0.25">
      <c r="A14" s="2">
        <f t="shared" si="0"/>
        <v>13</v>
      </c>
      <c r="B14" s="2">
        <v>1405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>
        <f t="shared" si="1"/>
        <v>0</v>
      </c>
    </row>
    <row r="15" spans="1:14" x14ac:dyDescent="0.25">
      <c r="A15" s="2">
        <f t="shared" si="0"/>
        <v>14</v>
      </c>
      <c r="B15" s="2">
        <v>1405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>
        <f t="shared" si="1"/>
        <v>0</v>
      </c>
    </row>
    <row r="16" spans="1:14" x14ac:dyDescent="0.25">
      <c r="A16" s="2">
        <f t="shared" si="0"/>
        <v>15</v>
      </c>
      <c r="B16" s="2">
        <v>1405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>
        <f t="shared" si="1"/>
        <v>0</v>
      </c>
    </row>
    <row r="17" spans="1:14" x14ac:dyDescent="0.25">
      <c r="A17" s="2">
        <f t="shared" si="0"/>
        <v>16</v>
      </c>
      <c r="B17" s="2">
        <v>1405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>
        <f t="shared" si="1"/>
        <v>0</v>
      </c>
    </row>
    <row r="18" spans="1:14" x14ac:dyDescent="0.25">
      <c r="A18" s="2">
        <f t="shared" si="0"/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>
        <f t="shared" si="1"/>
        <v>0</v>
      </c>
    </row>
    <row r="19" spans="1:14" x14ac:dyDescent="0.25">
      <c r="A19" s="2">
        <f t="shared" si="0"/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>
        <f t="shared" si="1"/>
        <v>0</v>
      </c>
    </row>
    <row r="20" spans="1:14" x14ac:dyDescent="0.25">
      <c r="A20" s="2">
        <f t="shared" si="0"/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>
        <f t="shared" si="1"/>
        <v>0</v>
      </c>
    </row>
    <row r="21" spans="1:14" x14ac:dyDescent="0.25">
      <c r="A21" s="2">
        <f t="shared" si="0"/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>
        <f t="shared" si="1"/>
        <v>0</v>
      </c>
    </row>
    <row r="22" spans="1:14" x14ac:dyDescent="0.25">
      <c r="A22" s="2">
        <f t="shared" si="0"/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>
        <f t="shared" si="1"/>
        <v>0</v>
      </c>
    </row>
    <row r="23" spans="1:14" x14ac:dyDescent="0.25">
      <c r="A23" s="2">
        <f t="shared" si="0"/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>
        <f t="shared" si="1"/>
        <v>0</v>
      </c>
    </row>
    <row r="24" spans="1:14" x14ac:dyDescent="0.25">
      <c r="A24" s="2">
        <f t="shared" si="0"/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>
        <f t="shared" si="1"/>
        <v>0</v>
      </c>
    </row>
    <row r="25" spans="1:14" x14ac:dyDescent="0.25">
      <c r="A25" s="2">
        <f t="shared" si="0"/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>
        <f t="shared" si="1"/>
        <v>0</v>
      </c>
    </row>
    <row r="26" spans="1:14" x14ac:dyDescent="0.25">
      <c r="A26" s="2">
        <f t="shared" si="0"/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>
        <f t="shared" si="1"/>
        <v>0</v>
      </c>
    </row>
    <row r="27" spans="1:14" x14ac:dyDescent="0.25">
      <c r="A27" s="2">
        <f t="shared" si="0"/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>
        <f t="shared" si="1"/>
        <v>0</v>
      </c>
    </row>
    <row r="28" spans="1:14" x14ac:dyDescent="0.25">
      <c r="A28" s="2">
        <f t="shared" si="0"/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>
        <f t="shared" si="1"/>
        <v>0</v>
      </c>
    </row>
    <row r="29" spans="1:14" x14ac:dyDescent="0.25">
      <c r="A29" s="2">
        <f t="shared" si="0"/>
        <v>28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>
        <f t="shared" si="1"/>
        <v>0</v>
      </c>
    </row>
    <row r="30" spans="1:14" x14ac:dyDescent="0.25">
      <c r="A30" s="2">
        <f t="shared" si="0"/>
        <v>29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>
        <f t="shared" si="1"/>
        <v>0</v>
      </c>
    </row>
    <row r="31" spans="1:14" x14ac:dyDescent="0.25">
      <c r="A31" s="2">
        <f t="shared" si="0"/>
        <v>30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>
        <f t="shared" si="1"/>
        <v>0</v>
      </c>
    </row>
    <row r="32" spans="1:14" x14ac:dyDescent="0.25">
      <c r="A32" s="2">
        <f t="shared" si="0"/>
        <v>31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>
        <f t="shared" si="1"/>
        <v>0</v>
      </c>
    </row>
    <row r="33" spans="1:14" x14ac:dyDescent="0.25">
      <c r="A33" s="2">
        <f t="shared" si="0"/>
        <v>32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>
        <f t="shared" si="1"/>
        <v>0</v>
      </c>
    </row>
    <row r="34" spans="1:14" x14ac:dyDescent="0.25">
      <c r="A34" s="2">
        <f t="shared" si="0"/>
        <v>33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>
        <f t="shared" si="1"/>
        <v>0</v>
      </c>
    </row>
    <row r="35" spans="1:14" x14ac:dyDescent="0.25">
      <c r="A35" s="2">
        <f t="shared" si="0"/>
        <v>34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>
        <f t="shared" si="1"/>
        <v>0</v>
      </c>
    </row>
    <row r="36" spans="1:14" x14ac:dyDescent="0.25">
      <c r="A36" s="2">
        <f t="shared" si="0"/>
        <v>35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>
        <f t="shared" si="1"/>
        <v>0</v>
      </c>
    </row>
    <row r="37" spans="1:14" x14ac:dyDescent="0.25">
      <c r="A37" s="2">
        <f t="shared" si="0"/>
        <v>36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>
        <f t="shared" si="1"/>
        <v>0</v>
      </c>
    </row>
    <row r="38" spans="1:14" x14ac:dyDescent="0.25">
      <c r="A38" s="2">
        <f t="shared" si="0"/>
        <v>37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>
        <f t="shared" si="1"/>
        <v>0</v>
      </c>
    </row>
    <row r="39" spans="1:14" x14ac:dyDescent="0.25">
      <c r="A39" s="2">
        <f t="shared" si="0"/>
        <v>38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>
        <f t="shared" si="1"/>
        <v>0</v>
      </c>
    </row>
    <row r="40" spans="1:14" x14ac:dyDescent="0.25">
      <c r="A40" s="2">
        <f t="shared" si="0"/>
        <v>39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>
        <f t="shared" si="1"/>
        <v>0</v>
      </c>
    </row>
    <row r="41" spans="1:14" x14ac:dyDescent="0.25">
      <c r="A41" s="2">
        <f t="shared" si="0"/>
        <v>40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>
        <f t="shared" si="1"/>
        <v>0</v>
      </c>
    </row>
    <row r="42" spans="1:14" x14ac:dyDescent="0.25">
      <c r="A42" s="2">
        <f t="shared" si="0"/>
        <v>41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>
        <f t="shared" si="1"/>
        <v>0</v>
      </c>
    </row>
    <row r="43" spans="1:14" x14ac:dyDescent="0.25">
      <c r="A43" s="2">
        <f t="shared" si="0"/>
        <v>42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>
        <f t="shared" si="1"/>
        <v>0</v>
      </c>
    </row>
    <row r="44" spans="1:14" x14ac:dyDescent="0.25">
      <c r="A44" s="2">
        <f t="shared" si="0"/>
        <v>43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>
        <f t="shared" si="1"/>
        <v>0</v>
      </c>
    </row>
    <row r="45" spans="1:14" x14ac:dyDescent="0.25">
      <c r="A45" s="2">
        <f t="shared" si="0"/>
        <v>44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>
        <f t="shared" si="1"/>
        <v>0</v>
      </c>
    </row>
    <row r="46" spans="1:14" x14ac:dyDescent="0.25">
      <c r="A46" s="2">
        <f t="shared" si="0"/>
        <v>45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>
        <f t="shared" si="1"/>
        <v>0</v>
      </c>
    </row>
    <row r="47" spans="1:14" x14ac:dyDescent="0.25">
      <c r="A47" s="2">
        <f t="shared" si="0"/>
        <v>46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>
        <f t="shared" si="1"/>
        <v>0</v>
      </c>
    </row>
    <row r="48" spans="1:14" x14ac:dyDescent="0.25">
      <c r="A48" s="2">
        <f t="shared" si="0"/>
        <v>47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>
        <f t="shared" si="1"/>
        <v>0</v>
      </c>
    </row>
    <row r="49" spans="1:14" x14ac:dyDescent="0.25">
      <c r="A49" s="2">
        <f t="shared" si="0"/>
        <v>48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>
        <f t="shared" si="1"/>
        <v>0</v>
      </c>
    </row>
    <row r="50" spans="1:14" x14ac:dyDescent="0.25">
      <c r="A50" s="2">
        <f t="shared" si="0"/>
        <v>49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>
        <f t="shared" si="1"/>
        <v>0</v>
      </c>
    </row>
    <row r="51" spans="1:14" x14ac:dyDescent="0.25">
      <c r="A51" s="2">
        <f t="shared" si="0"/>
        <v>50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>
        <f t="shared" si="1"/>
        <v>0</v>
      </c>
    </row>
    <row r="52" spans="1:14" x14ac:dyDescent="0.25">
      <c r="A52" s="2">
        <f t="shared" si="0"/>
        <v>51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>
        <f t="shared" si="1"/>
        <v>0</v>
      </c>
    </row>
    <row r="53" spans="1:14" x14ac:dyDescent="0.25">
      <c r="A53" s="2">
        <f t="shared" si="0"/>
        <v>52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>
        <f t="shared" si="1"/>
        <v>0</v>
      </c>
    </row>
    <row r="54" spans="1:14" x14ac:dyDescent="0.25">
      <c r="A54" s="2">
        <f t="shared" si="0"/>
        <v>53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>
        <f t="shared" si="1"/>
        <v>0</v>
      </c>
    </row>
    <row r="55" spans="1:14" x14ac:dyDescent="0.25">
      <c r="A55" s="2">
        <f t="shared" si="0"/>
        <v>54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>
        <f t="shared" si="1"/>
        <v>0</v>
      </c>
    </row>
    <row r="56" spans="1:14" x14ac:dyDescent="0.25">
      <c r="A56" s="2">
        <f t="shared" si="0"/>
        <v>55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>
        <f t="shared" si="1"/>
        <v>0</v>
      </c>
    </row>
    <row r="57" spans="1:14" x14ac:dyDescent="0.25">
      <c r="A57" s="2">
        <f t="shared" si="0"/>
        <v>56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>
        <f t="shared" si="1"/>
        <v>0</v>
      </c>
    </row>
    <row r="58" spans="1:14" x14ac:dyDescent="0.25">
      <c r="A58" s="2">
        <f t="shared" si="0"/>
        <v>57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>
        <f t="shared" si="1"/>
        <v>0</v>
      </c>
    </row>
    <row r="59" spans="1:14" x14ac:dyDescent="0.25">
      <c r="A59" s="2">
        <f t="shared" si="0"/>
        <v>58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>
        <f t="shared" si="1"/>
        <v>0</v>
      </c>
    </row>
    <row r="60" spans="1:14" x14ac:dyDescent="0.25">
      <c r="A60" s="2">
        <f t="shared" si="0"/>
        <v>59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>
        <f t="shared" si="1"/>
        <v>0</v>
      </c>
    </row>
    <row r="61" spans="1:14" x14ac:dyDescent="0.25">
      <c r="A61" s="2">
        <f t="shared" si="0"/>
        <v>60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>
        <f t="shared" si="1"/>
        <v>0</v>
      </c>
    </row>
    <row r="62" spans="1:14" x14ac:dyDescent="0.25">
      <c r="A62" s="2">
        <f t="shared" si="0"/>
        <v>61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>
        <f t="shared" si="1"/>
        <v>0</v>
      </c>
    </row>
    <row r="63" spans="1:14" x14ac:dyDescent="0.25">
      <c r="A63" s="2">
        <f t="shared" si="0"/>
        <v>62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>
        <f t="shared" si="1"/>
        <v>0</v>
      </c>
    </row>
    <row r="64" spans="1:14" x14ac:dyDescent="0.25">
      <c r="A64" s="2">
        <f t="shared" si="0"/>
        <v>63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>
        <f t="shared" si="1"/>
        <v>0</v>
      </c>
    </row>
    <row r="65" spans="1:14" x14ac:dyDescent="0.25">
      <c r="A65" s="2">
        <f t="shared" si="0"/>
        <v>64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>
        <f t="shared" si="1"/>
        <v>0</v>
      </c>
    </row>
    <row r="66" spans="1:14" x14ac:dyDescent="0.25">
      <c r="A66" s="2">
        <f t="shared" si="0"/>
        <v>65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>
        <f t="shared" si="1"/>
        <v>0</v>
      </c>
    </row>
    <row r="67" spans="1:14" x14ac:dyDescent="0.25">
      <c r="A67" s="2">
        <f t="shared" ref="A67:A99" si="2">ROW(A67)-1</f>
        <v>66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>
        <f t="shared" ref="N67:N111" si="3">((F67*2)+(G67)+(H67*3)+(I67*2)+(J67*2)+(K67*3)+(L67)+(M67))/15</f>
        <v>0</v>
      </c>
    </row>
    <row r="68" spans="1:14" x14ac:dyDescent="0.25">
      <c r="A68" s="2">
        <f t="shared" si="2"/>
        <v>67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>
        <f t="shared" si="3"/>
        <v>0</v>
      </c>
    </row>
    <row r="69" spans="1:14" x14ac:dyDescent="0.25">
      <c r="A69" s="2">
        <f t="shared" si="2"/>
        <v>68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>
        <f t="shared" si="3"/>
        <v>0</v>
      </c>
    </row>
    <row r="70" spans="1:14" x14ac:dyDescent="0.25">
      <c r="A70" s="2">
        <f t="shared" si="2"/>
        <v>69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>
        <f t="shared" si="3"/>
        <v>0</v>
      </c>
    </row>
    <row r="71" spans="1:14" x14ac:dyDescent="0.25">
      <c r="A71" s="2">
        <f t="shared" si="2"/>
        <v>70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>
        <f t="shared" si="3"/>
        <v>0</v>
      </c>
    </row>
    <row r="72" spans="1:14" x14ac:dyDescent="0.25">
      <c r="A72" s="2">
        <f t="shared" si="2"/>
        <v>71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>
        <f t="shared" si="3"/>
        <v>0</v>
      </c>
    </row>
    <row r="73" spans="1:14" x14ac:dyDescent="0.25">
      <c r="A73" s="2">
        <f t="shared" si="2"/>
        <v>72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>
        <f t="shared" si="3"/>
        <v>0</v>
      </c>
    </row>
    <row r="74" spans="1:14" x14ac:dyDescent="0.25">
      <c r="A74" s="2">
        <f t="shared" si="2"/>
        <v>73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>
        <f t="shared" si="3"/>
        <v>0</v>
      </c>
    </row>
    <row r="75" spans="1:14" x14ac:dyDescent="0.25">
      <c r="A75" s="2">
        <f t="shared" si="2"/>
        <v>74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>
        <f t="shared" si="3"/>
        <v>0</v>
      </c>
    </row>
    <row r="76" spans="1:14" x14ac:dyDescent="0.25">
      <c r="A76" s="2">
        <f t="shared" si="2"/>
        <v>75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>
        <f t="shared" si="3"/>
        <v>0</v>
      </c>
    </row>
    <row r="77" spans="1:14" x14ac:dyDescent="0.25">
      <c r="A77" s="2">
        <f t="shared" si="2"/>
        <v>76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>
        <f t="shared" si="3"/>
        <v>0</v>
      </c>
    </row>
    <row r="78" spans="1:14" x14ac:dyDescent="0.25">
      <c r="A78" s="2">
        <f t="shared" si="2"/>
        <v>77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>
        <f t="shared" si="3"/>
        <v>0</v>
      </c>
    </row>
    <row r="79" spans="1:14" x14ac:dyDescent="0.25">
      <c r="A79" s="2">
        <f t="shared" si="2"/>
        <v>78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>
        <f t="shared" si="3"/>
        <v>0</v>
      </c>
    </row>
    <row r="80" spans="1:14" x14ac:dyDescent="0.25">
      <c r="A80" s="2">
        <f t="shared" si="2"/>
        <v>79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>
        <f t="shared" si="3"/>
        <v>0</v>
      </c>
    </row>
    <row r="81" spans="1:14" x14ac:dyDescent="0.25">
      <c r="A81" s="2">
        <f t="shared" si="2"/>
        <v>80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>
        <f t="shared" si="3"/>
        <v>0</v>
      </c>
    </row>
    <row r="82" spans="1:14" x14ac:dyDescent="0.25">
      <c r="A82" s="2">
        <f t="shared" si="2"/>
        <v>81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>
        <f t="shared" si="3"/>
        <v>0</v>
      </c>
    </row>
    <row r="83" spans="1:14" x14ac:dyDescent="0.25">
      <c r="A83" s="2">
        <f t="shared" si="2"/>
        <v>82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>
        <f t="shared" si="3"/>
        <v>0</v>
      </c>
    </row>
    <row r="84" spans="1:14" x14ac:dyDescent="0.25">
      <c r="A84" s="2">
        <f t="shared" si="2"/>
        <v>83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>
        <f t="shared" si="3"/>
        <v>0</v>
      </c>
    </row>
    <row r="85" spans="1:14" x14ac:dyDescent="0.25">
      <c r="A85" s="2">
        <f t="shared" si="2"/>
        <v>84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>
        <f t="shared" si="3"/>
        <v>0</v>
      </c>
    </row>
    <row r="86" spans="1:14" x14ac:dyDescent="0.25">
      <c r="A86" s="2">
        <f t="shared" si="2"/>
        <v>85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>
        <f t="shared" si="3"/>
        <v>0</v>
      </c>
    </row>
    <row r="87" spans="1:14" x14ac:dyDescent="0.25">
      <c r="A87" s="2">
        <f t="shared" si="2"/>
        <v>86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>
        <f t="shared" si="3"/>
        <v>0</v>
      </c>
    </row>
    <row r="88" spans="1:14" x14ac:dyDescent="0.25">
      <c r="A88" s="2">
        <f t="shared" si="2"/>
        <v>87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>
        <f t="shared" si="3"/>
        <v>0</v>
      </c>
    </row>
    <row r="89" spans="1:14" x14ac:dyDescent="0.25">
      <c r="A89" s="2">
        <f t="shared" si="2"/>
        <v>88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>
        <f t="shared" si="3"/>
        <v>0</v>
      </c>
    </row>
    <row r="90" spans="1:14" x14ac:dyDescent="0.25">
      <c r="A90" s="2">
        <f t="shared" si="2"/>
        <v>89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>
        <f t="shared" si="3"/>
        <v>0</v>
      </c>
    </row>
    <row r="91" spans="1:14" x14ac:dyDescent="0.25">
      <c r="A91" s="2">
        <f t="shared" si="2"/>
        <v>90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>
        <f t="shared" si="3"/>
        <v>0</v>
      </c>
    </row>
    <row r="92" spans="1:14" x14ac:dyDescent="0.25">
      <c r="A92" s="2">
        <f t="shared" si="2"/>
        <v>91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>
        <f t="shared" si="3"/>
        <v>0</v>
      </c>
    </row>
    <row r="93" spans="1:14" x14ac:dyDescent="0.25">
      <c r="A93" s="2">
        <f t="shared" si="2"/>
        <v>92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>
        <f t="shared" si="3"/>
        <v>0</v>
      </c>
    </row>
    <row r="94" spans="1:14" x14ac:dyDescent="0.25">
      <c r="A94" s="2">
        <f t="shared" si="2"/>
        <v>93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>
        <f t="shared" si="3"/>
        <v>0</v>
      </c>
    </row>
    <row r="95" spans="1:14" x14ac:dyDescent="0.25">
      <c r="A95" s="2">
        <f t="shared" si="2"/>
        <v>94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>
        <f t="shared" si="3"/>
        <v>0</v>
      </c>
    </row>
    <row r="96" spans="1:14" x14ac:dyDescent="0.25">
      <c r="A96" s="2">
        <f t="shared" si="2"/>
        <v>95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>
        <f t="shared" si="3"/>
        <v>0</v>
      </c>
    </row>
    <row r="97" spans="1:14" x14ac:dyDescent="0.25">
      <c r="A97" s="2">
        <f t="shared" si="2"/>
        <v>96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>
        <f t="shared" si="3"/>
        <v>0</v>
      </c>
    </row>
    <row r="98" spans="1:14" x14ac:dyDescent="0.25">
      <c r="A98" s="2">
        <f t="shared" si="2"/>
        <v>97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>
        <f t="shared" si="3"/>
        <v>0</v>
      </c>
    </row>
    <row r="99" spans="1:14" x14ac:dyDescent="0.25">
      <c r="A99" s="4">
        <f t="shared" si="2"/>
        <v>98</v>
      </c>
      <c r="B99" s="4"/>
      <c r="C99" s="4"/>
      <c r="D99" s="4"/>
      <c r="E99" s="2"/>
      <c r="F99" s="4"/>
      <c r="G99" s="4"/>
      <c r="H99" s="4"/>
      <c r="I99" s="4"/>
      <c r="J99" s="4"/>
      <c r="K99" s="4"/>
      <c r="L99" s="4"/>
      <c r="M99" s="4"/>
      <c r="N99" s="2">
        <f t="shared" si="3"/>
        <v>0</v>
      </c>
    </row>
    <row r="100" spans="1:14" x14ac:dyDescent="0.25">
      <c r="A100" s="2">
        <v>99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>
        <f t="shared" si="3"/>
        <v>0</v>
      </c>
    </row>
    <row r="101" spans="1:14" x14ac:dyDescent="0.25">
      <c r="A101" s="2">
        <v>100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>
        <f t="shared" si="3"/>
        <v>0</v>
      </c>
    </row>
    <row r="102" spans="1:14" x14ac:dyDescent="0.25">
      <c r="A102" s="2">
        <v>101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>
        <f t="shared" si="3"/>
        <v>0</v>
      </c>
    </row>
    <row r="103" spans="1:14" x14ac:dyDescent="0.25">
      <c r="A103" s="2">
        <v>102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>
        <f t="shared" si="3"/>
        <v>0</v>
      </c>
    </row>
    <row r="104" spans="1:14" x14ac:dyDescent="0.25">
      <c r="A104" s="2">
        <v>103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>
        <f t="shared" si="3"/>
        <v>0</v>
      </c>
    </row>
    <row r="105" spans="1:14" x14ac:dyDescent="0.25">
      <c r="A105" s="2">
        <v>104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>
        <f t="shared" si="3"/>
        <v>0</v>
      </c>
    </row>
    <row r="106" spans="1:14" x14ac:dyDescent="0.25">
      <c r="A106" s="2">
        <v>105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>
        <f t="shared" si="3"/>
        <v>0</v>
      </c>
    </row>
    <row r="107" spans="1:14" x14ac:dyDescent="0.25">
      <c r="A107" s="2">
        <v>106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>
        <f t="shared" si="3"/>
        <v>0</v>
      </c>
    </row>
    <row r="108" spans="1:14" x14ac:dyDescent="0.25">
      <c r="A108" s="2">
        <v>107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>
        <f t="shared" si="3"/>
        <v>0</v>
      </c>
    </row>
    <row r="109" spans="1:14" x14ac:dyDescent="0.25">
      <c r="A109" s="2">
        <v>108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>
        <f t="shared" si="3"/>
        <v>0</v>
      </c>
    </row>
    <row r="110" spans="1:14" x14ac:dyDescent="0.25">
      <c r="A110" s="2">
        <v>109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>
        <f t="shared" si="3"/>
        <v>0</v>
      </c>
    </row>
    <row r="111" spans="1:14" x14ac:dyDescent="0.25">
      <c r="A111" s="2">
        <v>110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>
        <f t="shared" si="3"/>
        <v>0</v>
      </c>
    </row>
  </sheetData>
  <pageMargins left="0.25" right="0.25" top="0.75" bottom="0.75" header="0.3" footer="0.3"/>
  <pageSetup paperSize="9" scale="80" orientation="landscape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D23A50-92AA-4E6D-A522-2F57C737C5C5}">
          <x14:formula1>
            <xm:f>مرجع!$AE$2:$AE$6</xm:f>
          </x14:formula1>
          <xm:sqref>F2:M1048576</xm:sqref>
        </x14:dataValidation>
        <x14:dataValidation type="list" allowBlank="1" showInputMessage="1" showErrorMessage="1" xr:uid="{05278172-C1FD-4AF9-8FE2-DC0F787B1D6E}">
          <x14:formula1>
            <xm:f>مرجع!$L$2:$L$5</xm:f>
          </x14:formula1>
          <xm:sqref>E2:E1048576</xm:sqref>
        </x14:dataValidation>
        <x14:dataValidation type="list" allowBlank="1" showInputMessage="1" showErrorMessage="1" xr:uid="{2FC9BD3F-F518-437C-84A5-684ECF88699C}">
          <x14:formula1>
            <xm:f>مرجع!$C$2:$C$5</xm:f>
          </x14:formula1>
          <xm:sqref>B2:B1048576</xm:sqref>
        </x14:dataValidation>
        <x14:dataValidation type="list" allowBlank="1" showInputMessage="1" showErrorMessage="1" xr:uid="{33102413-7BFF-4B75-8BBA-9745E740AE50}">
          <x14:formula1>
            <xm:f>مرجع!$F$2:$F$13</xm:f>
          </x14:formula1>
          <xm:sqref>C2:C1048576</xm:sqref>
        </x14:dataValidation>
        <x14:dataValidation type="list" allowBlank="1" showInputMessage="1" showErrorMessage="1" xr:uid="{E0433828-CE20-4797-862A-1EF5F8C87FCB}">
          <x14:formula1>
            <xm:f>مرجع!$D$2:$D$5</xm:f>
          </x14:formula1>
          <xm:sqref>D2:D1048576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D1BCD-8921-4DAF-AD3F-E5A44DB73A60}">
  <sheetPr>
    <pageSetUpPr fitToPage="1"/>
  </sheetPr>
  <dimension ref="A1:M125"/>
  <sheetViews>
    <sheetView rightToLeft="1" workbookViewId="0">
      <selection activeCell="L10" sqref="L10"/>
    </sheetView>
  </sheetViews>
  <sheetFormatPr defaultRowHeight="15" x14ac:dyDescent="0.25"/>
  <cols>
    <col min="1" max="4" width="9.140625" style="3"/>
    <col min="5" max="5" width="19.7109375" style="3" customWidth="1"/>
    <col min="6" max="6" width="25.28515625" style="3" bestFit="1" customWidth="1"/>
    <col min="7" max="7" width="12.7109375" style="3" bestFit="1" customWidth="1"/>
    <col min="8" max="8" width="17.140625" style="3" bestFit="1" customWidth="1"/>
    <col min="9" max="9" width="14.28515625" style="3" bestFit="1" customWidth="1"/>
    <col min="10" max="10" width="12.7109375" style="3" bestFit="1" customWidth="1"/>
    <col min="11" max="11" width="19.42578125" style="3" bestFit="1" customWidth="1"/>
    <col min="12" max="12" width="26.140625" style="3" customWidth="1"/>
    <col min="13" max="13" width="9.140625" style="3"/>
  </cols>
  <sheetData>
    <row r="1" spans="1:13" ht="22.5" x14ac:dyDescent="0.55000000000000004">
      <c r="A1" s="1" t="s">
        <v>483</v>
      </c>
      <c r="B1" s="1" t="s">
        <v>484</v>
      </c>
      <c r="C1" s="1" t="s">
        <v>485</v>
      </c>
      <c r="D1" s="1" t="s">
        <v>486</v>
      </c>
      <c r="E1" s="1" t="s">
        <v>487</v>
      </c>
      <c r="F1" s="1" t="s">
        <v>493</v>
      </c>
      <c r="G1" s="1" t="s">
        <v>499</v>
      </c>
      <c r="H1" s="1" t="s">
        <v>495</v>
      </c>
      <c r="I1" s="1" t="s">
        <v>492</v>
      </c>
      <c r="J1" s="1" t="s">
        <v>503</v>
      </c>
      <c r="K1" s="1" t="s">
        <v>502</v>
      </c>
      <c r="L1" s="1" t="s">
        <v>504</v>
      </c>
      <c r="M1" s="1" t="s">
        <v>498</v>
      </c>
    </row>
    <row r="2" spans="1:13" x14ac:dyDescent="0.25">
      <c r="A2" s="2">
        <f>ROW(A2)-1</f>
        <v>1</v>
      </c>
      <c r="B2" s="2">
        <v>1405</v>
      </c>
      <c r="C2" s="2" t="s">
        <v>54</v>
      </c>
      <c r="D2" s="2">
        <v>2</v>
      </c>
      <c r="E2" s="2" t="s">
        <v>24</v>
      </c>
      <c r="F2" s="2">
        <v>5</v>
      </c>
      <c r="G2" s="2">
        <v>5</v>
      </c>
      <c r="H2" s="2">
        <v>5</v>
      </c>
      <c r="I2" s="2">
        <v>5</v>
      </c>
      <c r="J2" s="2">
        <v>5</v>
      </c>
      <c r="K2" s="2">
        <v>4</v>
      </c>
      <c r="L2" s="2">
        <v>5</v>
      </c>
      <c r="M2" s="2">
        <f>((F2*2)+(G2)+(H2*2)+(I2*4)+(J2)+(K2*2)+(L2))/13</f>
        <v>4.8461538461538458</v>
      </c>
    </row>
    <row r="3" spans="1:13" x14ac:dyDescent="0.25">
      <c r="A3" s="2">
        <f t="shared" ref="A3:A66" si="0">ROW(A3)-1</f>
        <v>2</v>
      </c>
      <c r="B3" s="2">
        <v>1405</v>
      </c>
      <c r="C3" s="2" t="s">
        <v>54</v>
      </c>
      <c r="D3" s="2">
        <v>2</v>
      </c>
      <c r="E3" s="2" t="s">
        <v>478</v>
      </c>
      <c r="F3" s="2">
        <v>5</v>
      </c>
      <c r="G3" s="2">
        <v>5</v>
      </c>
      <c r="H3" s="2">
        <v>5</v>
      </c>
      <c r="I3" s="2">
        <v>5</v>
      </c>
      <c r="J3" s="2">
        <v>5</v>
      </c>
      <c r="K3" s="2">
        <v>5</v>
      </c>
      <c r="L3" s="2">
        <v>5</v>
      </c>
      <c r="M3" s="2">
        <f t="shared" ref="M3:M66" si="1">((F3*2)+(G3)+(H3*2)+(I3*4)+(J3)+(K3*2)+(L3))/13</f>
        <v>5</v>
      </c>
    </row>
    <row r="4" spans="1:13" x14ac:dyDescent="0.25">
      <c r="A4" s="2">
        <f t="shared" si="0"/>
        <v>3</v>
      </c>
      <c r="B4" s="2">
        <v>1405</v>
      </c>
      <c r="C4" s="2" t="s">
        <v>54</v>
      </c>
      <c r="D4" s="2">
        <v>2</v>
      </c>
      <c r="E4" s="2" t="s">
        <v>470</v>
      </c>
      <c r="F4" s="2">
        <v>5</v>
      </c>
      <c r="G4" s="2">
        <v>5</v>
      </c>
      <c r="H4" s="2">
        <v>5</v>
      </c>
      <c r="I4" s="2">
        <v>5</v>
      </c>
      <c r="J4" s="2">
        <v>4</v>
      </c>
      <c r="K4" s="2">
        <v>4</v>
      </c>
      <c r="L4" s="2">
        <v>5</v>
      </c>
      <c r="M4" s="2">
        <f t="shared" si="1"/>
        <v>4.7692307692307692</v>
      </c>
    </row>
    <row r="5" spans="1:13" x14ac:dyDescent="0.25">
      <c r="A5" s="2">
        <f t="shared" si="0"/>
        <v>4</v>
      </c>
      <c r="B5" s="2">
        <v>1405</v>
      </c>
      <c r="C5" s="2" t="s">
        <v>54</v>
      </c>
      <c r="D5" s="2">
        <v>2</v>
      </c>
      <c r="E5" s="2" t="s">
        <v>467</v>
      </c>
      <c r="F5" s="2">
        <v>5</v>
      </c>
      <c r="G5" s="2">
        <v>5</v>
      </c>
      <c r="H5" s="2">
        <v>4</v>
      </c>
      <c r="I5" s="2">
        <v>4</v>
      </c>
      <c r="J5" s="2">
        <v>4</v>
      </c>
      <c r="K5" s="2">
        <v>3</v>
      </c>
      <c r="L5" s="2">
        <v>4</v>
      </c>
      <c r="M5" s="2">
        <f t="shared" si="1"/>
        <v>4.0769230769230766</v>
      </c>
    </row>
    <row r="6" spans="1:13" x14ac:dyDescent="0.25">
      <c r="A6" s="2">
        <f t="shared" si="0"/>
        <v>5</v>
      </c>
      <c r="B6" s="2">
        <v>1405</v>
      </c>
      <c r="C6" s="2" t="s">
        <v>54</v>
      </c>
      <c r="D6" s="2">
        <v>3</v>
      </c>
      <c r="E6" s="2" t="s">
        <v>24</v>
      </c>
      <c r="F6" s="2">
        <v>5</v>
      </c>
      <c r="G6" s="2">
        <v>5</v>
      </c>
      <c r="H6" s="2">
        <v>4</v>
      </c>
      <c r="I6" s="2">
        <v>4</v>
      </c>
      <c r="J6" s="2">
        <v>5</v>
      </c>
      <c r="K6" s="2">
        <v>4</v>
      </c>
      <c r="L6" s="2">
        <v>4</v>
      </c>
      <c r="M6" s="2">
        <f t="shared" si="1"/>
        <v>4.3076923076923075</v>
      </c>
    </row>
    <row r="7" spans="1:13" x14ac:dyDescent="0.25">
      <c r="A7" s="2">
        <f t="shared" si="0"/>
        <v>6</v>
      </c>
      <c r="B7" s="2">
        <v>1405</v>
      </c>
      <c r="C7" s="2" t="s">
        <v>54</v>
      </c>
      <c r="D7" s="2">
        <v>3</v>
      </c>
      <c r="E7" s="2" t="s">
        <v>478</v>
      </c>
      <c r="F7" s="2">
        <v>5</v>
      </c>
      <c r="G7" s="2">
        <v>5</v>
      </c>
      <c r="H7" s="2">
        <v>4</v>
      </c>
      <c r="I7" s="2">
        <v>4</v>
      </c>
      <c r="J7" s="2">
        <v>5</v>
      </c>
      <c r="K7" s="2">
        <v>4</v>
      </c>
      <c r="L7" s="2">
        <v>4</v>
      </c>
      <c r="M7" s="2">
        <f t="shared" si="1"/>
        <v>4.3076923076923075</v>
      </c>
    </row>
    <row r="8" spans="1:13" x14ac:dyDescent="0.25">
      <c r="A8" s="2">
        <f t="shared" si="0"/>
        <v>7</v>
      </c>
      <c r="B8" s="2">
        <v>1405</v>
      </c>
      <c r="C8" s="2" t="s">
        <v>54</v>
      </c>
      <c r="D8" s="2">
        <v>3</v>
      </c>
      <c r="E8" s="2" t="s">
        <v>470</v>
      </c>
      <c r="F8" s="2">
        <v>5</v>
      </c>
      <c r="G8" s="2">
        <v>5</v>
      </c>
      <c r="H8" s="2">
        <v>5</v>
      </c>
      <c r="I8" s="2">
        <v>4</v>
      </c>
      <c r="J8" s="2">
        <v>5</v>
      </c>
      <c r="K8" s="2">
        <v>4</v>
      </c>
      <c r="L8" s="2">
        <v>4</v>
      </c>
      <c r="M8" s="2">
        <f t="shared" si="1"/>
        <v>4.4615384615384617</v>
      </c>
    </row>
    <row r="9" spans="1:13" x14ac:dyDescent="0.25">
      <c r="A9" s="2">
        <f t="shared" si="0"/>
        <v>8</v>
      </c>
      <c r="B9" s="2">
        <v>1405</v>
      </c>
      <c r="C9" s="2" t="s">
        <v>54</v>
      </c>
      <c r="D9" s="2">
        <v>3</v>
      </c>
      <c r="E9" s="2" t="s">
        <v>467</v>
      </c>
      <c r="F9" s="2">
        <v>5</v>
      </c>
      <c r="G9" s="2">
        <v>5</v>
      </c>
      <c r="H9" s="2">
        <v>4</v>
      </c>
      <c r="I9" s="2">
        <v>3</v>
      </c>
      <c r="J9" s="2">
        <v>4</v>
      </c>
      <c r="K9" s="2">
        <v>3</v>
      </c>
      <c r="L9" s="2">
        <v>4</v>
      </c>
      <c r="M9" s="2">
        <f t="shared" si="1"/>
        <v>3.7692307692307692</v>
      </c>
    </row>
    <row r="10" spans="1:13" x14ac:dyDescent="0.25">
      <c r="A10" s="2">
        <f t="shared" si="0"/>
        <v>9</v>
      </c>
      <c r="B10" s="2">
        <v>1405</v>
      </c>
      <c r="C10" s="2" t="s">
        <v>54</v>
      </c>
      <c r="D10" s="2">
        <v>4</v>
      </c>
      <c r="E10" s="2" t="s">
        <v>24</v>
      </c>
      <c r="F10" s="2"/>
      <c r="G10" s="2"/>
      <c r="H10" s="2"/>
      <c r="I10" s="2"/>
      <c r="J10" s="2"/>
      <c r="K10" s="2"/>
      <c r="L10" s="2"/>
      <c r="M10" s="2">
        <f t="shared" si="1"/>
        <v>0</v>
      </c>
    </row>
    <row r="11" spans="1:13" x14ac:dyDescent="0.25">
      <c r="A11" s="2">
        <f t="shared" si="0"/>
        <v>10</v>
      </c>
      <c r="B11" s="2">
        <v>1405</v>
      </c>
      <c r="C11" s="2" t="s">
        <v>54</v>
      </c>
      <c r="D11" s="2">
        <v>4</v>
      </c>
      <c r="E11" s="2" t="s">
        <v>478</v>
      </c>
      <c r="F11" s="2"/>
      <c r="G11" s="2"/>
      <c r="H11" s="2"/>
      <c r="I11" s="2"/>
      <c r="J11" s="2"/>
      <c r="K11" s="2"/>
      <c r="L11" s="2"/>
      <c r="M11" s="2">
        <f t="shared" si="1"/>
        <v>0</v>
      </c>
    </row>
    <row r="12" spans="1:13" x14ac:dyDescent="0.25">
      <c r="A12" s="2">
        <f t="shared" si="0"/>
        <v>11</v>
      </c>
      <c r="B12" s="2">
        <v>1405</v>
      </c>
      <c r="C12" s="2" t="s">
        <v>54</v>
      </c>
      <c r="D12" s="2">
        <v>4</v>
      </c>
      <c r="E12" s="2" t="s">
        <v>470</v>
      </c>
      <c r="F12" s="2"/>
      <c r="G12" s="2"/>
      <c r="H12" s="2"/>
      <c r="I12" s="2"/>
      <c r="J12" s="2"/>
      <c r="K12" s="2"/>
      <c r="L12" s="2"/>
      <c r="M12" s="2">
        <f t="shared" si="1"/>
        <v>0</v>
      </c>
    </row>
    <row r="13" spans="1:13" x14ac:dyDescent="0.25">
      <c r="A13" s="2">
        <f t="shared" si="0"/>
        <v>12</v>
      </c>
      <c r="B13" s="2">
        <v>1405</v>
      </c>
      <c r="C13" s="2" t="s">
        <v>54</v>
      </c>
      <c r="D13" s="2">
        <v>4</v>
      </c>
      <c r="E13" s="2" t="s">
        <v>467</v>
      </c>
      <c r="F13" s="2"/>
      <c r="G13" s="2"/>
      <c r="H13" s="2"/>
      <c r="I13" s="2"/>
      <c r="J13" s="2"/>
      <c r="K13" s="2"/>
      <c r="L13" s="2"/>
      <c r="M13" s="2">
        <f t="shared" si="1"/>
        <v>0</v>
      </c>
    </row>
    <row r="14" spans="1:13" x14ac:dyDescent="0.25">
      <c r="A14" s="2">
        <f t="shared" si="0"/>
        <v>13</v>
      </c>
      <c r="B14" s="2">
        <v>1405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>
        <f t="shared" si="1"/>
        <v>0</v>
      </c>
    </row>
    <row r="15" spans="1:13" x14ac:dyDescent="0.25">
      <c r="A15" s="2">
        <f t="shared" si="0"/>
        <v>14</v>
      </c>
      <c r="B15" s="2">
        <v>1405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>
        <f t="shared" si="1"/>
        <v>0</v>
      </c>
    </row>
    <row r="16" spans="1:13" x14ac:dyDescent="0.25">
      <c r="A16" s="2">
        <f t="shared" si="0"/>
        <v>15</v>
      </c>
      <c r="B16" s="2">
        <v>1405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>
        <f t="shared" si="1"/>
        <v>0</v>
      </c>
    </row>
    <row r="17" spans="1:13" x14ac:dyDescent="0.25">
      <c r="A17" s="2">
        <f t="shared" si="0"/>
        <v>16</v>
      </c>
      <c r="B17" s="2">
        <v>1405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>
        <f t="shared" si="1"/>
        <v>0</v>
      </c>
    </row>
    <row r="18" spans="1:13" x14ac:dyDescent="0.25">
      <c r="A18" s="2">
        <f t="shared" si="0"/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>
        <f t="shared" si="1"/>
        <v>0</v>
      </c>
    </row>
    <row r="19" spans="1:13" x14ac:dyDescent="0.25">
      <c r="A19" s="2">
        <f t="shared" si="0"/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>
        <f t="shared" si="1"/>
        <v>0</v>
      </c>
    </row>
    <row r="20" spans="1:13" x14ac:dyDescent="0.25">
      <c r="A20" s="2">
        <f t="shared" si="0"/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>
        <f t="shared" si="1"/>
        <v>0</v>
      </c>
    </row>
    <row r="21" spans="1:13" x14ac:dyDescent="0.25">
      <c r="A21" s="2">
        <f t="shared" si="0"/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>
        <f t="shared" si="1"/>
        <v>0</v>
      </c>
    </row>
    <row r="22" spans="1:13" x14ac:dyDescent="0.25">
      <c r="A22" s="2">
        <f t="shared" si="0"/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>
        <f t="shared" si="1"/>
        <v>0</v>
      </c>
    </row>
    <row r="23" spans="1:13" x14ac:dyDescent="0.25">
      <c r="A23" s="2">
        <f t="shared" si="0"/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>
        <f t="shared" si="1"/>
        <v>0</v>
      </c>
    </row>
    <row r="24" spans="1:13" x14ac:dyDescent="0.25">
      <c r="A24" s="2">
        <f t="shared" si="0"/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>
        <f t="shared" si="1"/>
        <v>0</v>
      </c>
    </row>
    <row r="25" spans="1:13" x14ac:dyDescent="0.25">
      <c r="A25" s="2">
        <f t="shared" si="0"/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>
        <f t="shared" si="1"/>
        <v>0</v>
      </c>
    </row>
    <row r="26" spans="1:13" x14ac:dyDescent="0.25">
      <c r="A26" s="2">
        <f t="shared" si="0"/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>
        <f t="shared" si="1"/>
        <v>0</v>
      </c>
    </row>
    <row r="27" spans="1:13" x14ac:dyDescent="0.25">
      <c r="A27" s="2">
        <f t="shared" si="0"/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>
        <f t="shared" si="1"/>
        <v>0</v>
      </c>
    </row>
    <row r="28" spans="1:13" x14ac:dyDescent="0.25">
      <c r="A28" s="2">
        <f t="shared" si="0"/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>
        <f t="shared" si="1"/>
        <v>0</v>
      </c>
    </row>
    <row r="29" spans="1:13" x14ac:dyDescent="0.25">
      <c r="A29" s="2">
        <f t="shared" si="0"/>
        <v>28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>
        <f t="shared" si="1"/>
        <v>0</v>
      </c>
    </row>
    <row r="30" spans="1:13" x14ac:dyDescent="0.25">
      <c r="A30" s="2">
        <f t="shared" si="0"/>
        <v>29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>
        <f t="shared" si="1"/>
        <v>0</v>
      </c>
    </row>
    <row r="31" spans="1:13" x14ac:dyDescent="0.25">
      <c r="A31" s="2">
        <f t="shared" si="0"/>
        <v>30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>
        <f t="shared" si="1"/>
        <v>0</v>
      </c>
    </row>
    <row r="32" spans="1:13" x14ac:dyDescent="0.25">
      <c r="A32" s="2">
        <f t="shared" si="0"/>
        <v>31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>
        <f t="shared" si="1"/>
        <v>0</v>
      </c>
    </row>
    <row r="33" spans="1:13" x14ac:dyDescent="0.25">
      <c r="A33" s="2">
        <f t="shared" si="0"/>
        <v>32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>
        <f t="shared" si="1"/>
        <v>0</v>
      </c>
    </row>
    <row r="34" spans="1:13" x14ac:dyDescent="0.25">
      <c r="A34" s="2">
        <f t="shared" si="0"/>
        <v>33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>
        <f t="shared" si="1"/>
        <v>0</v>
      </c>
    </row>
    <row r="35" spans="1:13" x14ac:dyDescent="0.25">
      <c r="A35" s="2">
        <f t="shared" si="0"/>
        <v>34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>
        <f t="shared" si="1"/>
        <v>0</v>
      </c>
    </row>
    <row r="36" spans="1:13" x14ac:dyDescent="0.25">
      <c r="A36" s="2">
        <f t="shared" si="0"/>
        <v>35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>
        <f t="shared" si="1"/>
        <v>0</v>
      </c>
    </row>
    <row r="37" spans="1:13" x14ac:dyDescent="0.25">
      <c r="A37" s="2">
        <f t="shared" si="0"/>
        <v>36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>
        <f t="shared" si="1"/>
        <v>0</v>
      </c>
    </row>
    <row r="38" spans="1:13" x14ac:dyDescent="0.25">
      <c r="A38" s="2">
        <f t="shared" si="0"/>
        <v>37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>
        <f t="shared" si="1"/>
        <v>0</v>
      </c>
    </row>
    <row r="39" spans="1:13" x14ac:dyDescent="0.25">
      <c r="A39" s="2">
        <f t="shared" si="0"/>
        <v>38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>
        <f t="shared" si="1"/>
        <v>0</v>
      </c>
    </row>
    <row r="40" spans="1:13" x14ac:dyDescent="0.25">
      <c r="A40" s="2">
        <f t="shared" si="0"/>
        <v>39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>
        <f t="shared" si="1"/>
        <v>0</v>
      </c>
    </row>
    <row r="41" spans="1:13" x14ac:dyDescent="0.25">
      <c r="A41" s="2">
        <f t="shared" si="0"/>
        <v>40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>
        <f t="shared" si="1"/>
        <v>0</v>
      </c>
    </row>
    <row r="42" spans="1:13" x14ac:dyDescent="0.25">
      <c r="A42" s="2">
        <f t="shared" si="0"/>
        <v>41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>
        <f t="shared" si="1"/>
        <v>0</v>
      </c>
    </row>
    <row r="43" spans="1:13" x14ac:dyDescent="0.25">
      <c r="A43" s="2">
        <f t="shared" si="0"/>
        <v>42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>
        <f t="shared" si="1"/>
        <v>0</v>
      </c>
    </row>
    <row r="44" spans="1:13" x14ac:dyDescent="0.25">
      <c r="A44" s="2">
        <f t="shared" si="0"/>
        <v>43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>
        <f t="shared" si="1"/>
        <v>0</v>
      </c>
    </row>
    <row r="45" spans="1:13" x14ac:dyDescent="0.25">
      <c r="A45" s="2">
        <f t="shared" si="0"/>
        <v>44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>
        <f t="shared" si="1"/>
        <v>0</v>
      </c>
    </row>
    <row r="46" spans="1:13" x14ac:dyDescent="0.25">
      <c r="A46" s="2">
        <f t="shared" si="0"/>
        <v>45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>
        <f t="shared" si="1"/>
        <v>0</v>
      </c>
    </row>
    <row r="47" spans="1:13" x14ac:dyDescent="0.25">
      <c r="A47" s="2">
        <f t="shared" si="0"/>
        <v>46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>
        <f t="shared" si="1"/>
        <v>0</v>
      </c>
    </row>
    <row r="48" spans="1:13" x14ac:dyDescent="0.25">
      <c r="A48" s="2">
        <f t="shared" si="0"/>
        <v>47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>
        <f t="shared" si="1"/>
        <v>0</v>
      </c>
    </row>
    <row r="49" spans="1:13" x14ac:dyDescent="0.25">
      <c r="A49" s="2">
        <f t="shared" si="0"/>
        <v>48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>
        <f t="shared" si="1"/>
        <v>0</v>
      </c>
    </row>
    <row r="50" spans="1:13" x14ac:dyDescent="0.25">
      <c r="A50" s="2">
        <f t="shared" si="0"/>
        <v>49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>
        <f t="shared" si="1"/>
        <v>0</v>
      </c>
    </row>
    <row r="51" spans="1:13" x14ac:dyDescent="0.25">
      <c r="A51" s="2">
        <f t="shared" si="0"/>
        <v>50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>
        <f t="shared" si="1"/>
        <v>0</v>
      </c>
    </row>
    <row r="52" spans="1:13" x14ac:dyDescent="0.25">
      <c r="A52" s="2">
        <f t="shared" si="0"/>
        <v>51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>
        <f t="shared" si="1"/>
        <v>0</v>
      </c>
    </row>
    <row r="53" spans="1:13" x14ac:dyDescent="0.25">
      <c r="A53" s="2">
        <f t="shared" si="0"/>
        <v>52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>
        <f t="shared" si="1"/>
        <v>0</v>
      </c>
    </row>
    <row r="54" spans="1:13" x14ac:dyDescent="0.25">
      <c r="A54" s="2">
        <f t="shared" si="0"/>
        <v>53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>
        <f t="shared" si="1"/>
        <v>0</v>
      </c>
    </row>
    <row r="55" spans="1:13" x14ac:dyDescent="0.25">
      <c r="A55" s="2">
        <f t="shared" si="0"/>
        <v>54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>
        <f t="shared" si="1"/>
        <v>0</v>
      </c>
    </row>
    <row r="56" spans="1:13" x14ac:dyDescent="0.25">
      <c r="A56" s="2">
        <f t="shared" si="0"/>
        <v>55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>
        <f t="shared" si="1"/>
        <v>0</v>
      </c>
    </row>
    <row r="57" spans="1:13" x14ac:dyDescent="0.25">
      <c r="A57" s="2">
        <f t="shared" si="0"/>
        <v>56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>
        <f t="shared" si="1"/>
        <v>0</v>
      </c>
    </row>
    <row r="58" spans="1:13" x14ac:dyDescent="0.25">
      <c r="A58" s="2">
        <f t="shared" si="0"/>
        <v>57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>
        <f t="shared" si="1"/>
        <v>0</v>
      </c>
    </row>
    <row r="59" spans="1:13" x14ac:dyDescent="0.25">
      <c r="A59" s="2">
        <f t="shared" si="0"/>
        <v>58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>
        <f t="shared" si="1"/>
        <v>0</v>
      </c>
    </row>
    <row r="60" spans="1:13" x14ac:dyDescent="0.25">
      <c r="A60" s="2">
        <f t="shared" si="0"/>
        <v>59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>
        <f t="shared" si="1"/>
        <v>0</v>
      </c>
    </row>
    <row r="61" spans="1:13" x14ac:dyDescent="0.25">
      <c r="A61" s="2">
        <f t="shared" si="0"/>
        <v>60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>
        <f t="shared" si="1"/>
        <v>0</v>
      </c>
    </row>
    <row r="62" spans="1:13" x14ac:dyDescent="0.25">
      <c r="A62" s="2">
        <f t="shared" si="0"/>
        <v>61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>
        <f t="shared" si="1"/>
        <v>0</v>
      </c>
    </row>
    <row r="63" spans="1:13" x14ac:dyDescent="0.25">
      <c r="A63" s="2">
        <f t="shared" si="0"/>
        <v>62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>
        <f t="shared" si="1"/>
        <v>0</v>
      </c>
    </row>
    <row r="64" spans="1:13" x14ac:dyDescent="0.25">
      <c r="A64" s="2">
        <f t="shared" si="0"/>
        <v>63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>
        <f t="shared" si="1"/>
        <v>0</v>
      </c>
    </row>
    <row r="65" spans="1:13" x14ac:dyDescent="0.25">
      <c r="A65" s="2">
        <f t="shared" si="0"/>
        <v>64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>
        <f t="shared" si="1"/>
        <v>0</v>
      </c>
    </row>
    <row r="66" spans="1:13" x14ac:dyDescent="0.25">
      <c r="A66" s="2">
        <f t="shared" si="0"/>
        <v>65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>
        <f t="shared" si="1"/>
        <v>0</v>
      </c>
    </row>
    <row r="67" spans="1:13" x14ac:dyDescent="0.25">
      <c r="A67" s="2">
        <f t="shared" ref="A67:A103" si="2">ROW(A67)-1</f>
        <v>66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>
        <f t="shared" ref="M67:M119" si="3">((F67*2)+(G67)+(H67*2)+(I67*4)+(J67)+(K67*2)+(L67))/13</f>
        <v>0</v>
      </c>
    </row>
    <row r="68" spans="1:13" x14ac:dyDescent="0.25">
      <c r="A68" s="2">
        <f t="shared" si="2"/>
        <v>67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>
        <f t="shared" si="3"/>
        <v>0</v>
      </c>
    </row>
    <row r="69" spans="1:13" x14ac:dyDescent="0.25">
      <c r="A69" s="2">
        <f t="shared" si="2"/>
        <v>68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>
        <f t="shared" si="3"/>
        <v>0</v>
      </c>
    </row>
    <row r="70" spans="1:13" x14ac:dyDescent="0.25">
      <c r="A70" s="2">
        <f t="shared" si="2"/>
        <v>69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>
        <f t="shared" si="3"/>
        <v>0</v>
      </c>
    </row>
    <row r="71" spans="1:13" x14ac:dyDescent="0.25">
      <c r="A71" s="2">
        <f t="shared" si="2"/>
        <v>70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>
        <f t="shared" si="3"/>
        <v>0</v>
      </c>
    </row>
    <row r="72" spans="1:13" x14ac:dyDescent="0.25">
      <c r="A72" s="2">
        <f t="shared" si="2"/>
        <v>71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>
        <f t="shared" si="3"/>
        <v>0</v>
      </c>
    </row>
    <row r="73" spans="1:13" x14ac:dyDescent="0.25">
      <c r="A73" s="2">
        <f t="shared" si="2"/>
        <v>72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>
        <f t="shared" si="3"/>
        <v>0</v>
      </c>
    </row>
    <row r="74" spans="1:13" x14ac:dyDescent="0.25">
      <c r="A74" s="2">
        <f t="shared" si="2"/>
        <v>73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>
        <f t="shared" si="3"/>
        <v>0</v>
      </c>
    </row>
    <row r="75" spans="1:13" x14ac:dyDescent="0.25">
      <c r="A75" s="2">
        <f t="shared" si="2"/>
        <v>74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>
        <f t="shared" si="3"/>
        <v>0</v>
      </c>
    </row>
    <row r="76" spans="1:13" x14ac:dyDescent="0.25">
      <c r="A76" s="2">
        <f t="shared" si="2"/>
        <v>75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>
        <f t="shared" si="3"/>
        <v>0</v>
      </c>
    </row>
    <row r="77" spans="1:13" x14ac:dyDescent="0.25">
      <c r="A77" s="2">
        <f t="shared" si="2"/>
        <v>76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>
        <f t="shared" si="3"/>
        <v>0</v>
      </c>
    </row>
    <row r="78" spans="1:13" x14ac:dyDescent="0.25">
      <c r="A78" s="2">
        <f t="shared" si="2"/>
        <v>77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>
        <f t="shared" si="3"/>
        <v>0</v>
      </c>
    </row>
    <row r="79" spans="1:13" x14ac:dyDescent="0.25">
      <c r="A79" s="2">
        <f t="shared" si="2"/>
        <v>78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>
        <f t="shared" si="3"/>
        <v>0</v>
      </c>
    </row>
    <row r="80" spans="1:13" x14ac:dyDescent="0.25">
      <c r="A80" s="2">
        <f t="shared" si="2"/>
        <v>79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>
        <f t="shared" si="3"/>
        <v>0</v>
      </c>
    </row>
    <row r="81" spans="1:13" x14ac:dyDescent="0.25">
      <c r="A81" s="2">
        <f t="shared" si="2"/>
        <v>80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>
        <f t="shared" si="3"/>
        <v>0</v>
      </c>
    </row>
    <row r="82" spans="1:13" x14ac:dyDescent="0.25">
      <c r="A82" s="2">
        <f t="shared" si="2"/>
        <v>81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>
        <f t="shared" si="3"/>
        <v>0</v>
      </c>
    </row>
    <row r="83" spans="1:13" x14ac:dyDescent="0.25">
      <c r="A83" s="2">
        <f t="shared" si="2"/>
        <v>82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>
        <f t="shared" si="3"/>
        <v>0</v>
      </c>
    </row>
    <row r="84" spans="1:13" x14ac:dyDescent="0.25">
      <c r="A84" s="2">
        <f t="shared" si="2"/>
        <v>83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>
        <f t="shared" si="3"/>
        <v>0</v>
      </c>
    </row>
    <row r="85" spans="1:13" x14ac:dyDescent="0.25">
      <c r="A85" s="2">
        <f t="shared" si="2"/>
        <v>84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>
        <f t="shared" si="3"/>
        <v>0</v>
      </c>
    </row>
    <row r="86" spans="1:13" x14ac:dyDescent="0.25">
      <c r="A86" s="2">
        <f t="shared" si="2"/>
        <v>85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>
        <f t="shared" si="3"/>
        <v>0</v>
      </c>
    </row>
    <row r="87" spans="1:13" x14ac:dyDescent="0.25">
      <c r="A87" s="2">
        <f t="shared" si="2"/>
        <v>86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>
        <f t="shared" si="3"/>
        <v>0</v>
      </c>
    </row>
    <row r="88" spans="1:13" x14ac:dyDescent="0.25">
      <c r="A88" s="2">
        <f t="shared" si="2"/>
        <v>87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>
        <f t="shared" si="3"/>
        <v>0</v>
      </c>
    </row>
    <row r="89" spans="1:13" x14ac:dyDescent="0.25">
      <c r="A89" s="2">
        <f t="shared" si="2"/>
        <v>88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>
        <f t="shared" si="3"/>
        <v>0</v>
      </c>
    </row>
    <row r="90" spans="1:13" x14ac:dyDescent="0.25">
      <c r="A90" s="2">
        <f t="shared" si="2"/>
        <v>89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>
        <f t="shared" si="3"/>
        <v>0</v>
      </c>
    </row>
    <row r="91" spans="1:13" x14ac:dyDescent="0.25">
      <c r="A91" s="2">
        <f t="shared" si="2"/>
        <v>90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>
        <f t="shared" si="3"/>
        <v>0</v>
      </c>
    </row>
    <row r="92" spans="1:13" x14ac:dyDescent="0.25">
      <c r="A92" s="2">
        <f t="shared" si="2"/>
        <v>91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>
        <f t="shared" si="3"/>
        <v>0</v>
      </c>
    </row>
    <row r="93" spans="1:13" x14ac:dyDescent="0.25">
      <c r="A93" s="2">
        <f t="shared" si="2"/>
        <v>92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>
        <f t="shared" si="3"/>
        <v>0</v>
      </c>
    </row>
    <row r="94" spans="1:13" x14ac:dyDescent="0.25">
      <c r="A94" s="2">
        <f t="shared" si="2"/>
        <v>93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>
        <f t="shared" si="3"/>
        <v>0</v>
      </c>
    </row>
    <row r="95" spans="1:13" x14ac:dyDescent="0.25">
      <c r="A95" s="2">
        <f t="shared" si="2"/>
        <v>94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>
        <f t="shared" si="3"/>
        <v>0</v>
      </c>
    </row>
    <row r="96" spans="1:13" x14ac:dyDescent="0.25">
      <c r="A96" s="2">
        <f t="shared" si="2"/>
        <v>95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>
        <f t="shared" si="3"/>
        <v>0</v>
      </c>
    </row>
    <row r="97" spans="1:13" x14ac:dyDescent="0.25">
      <c r="A97" s="4">
        <f t="shared" si="2"/>
        <v>96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>
        <f t="shared" si="3"/>
        <v>0</v>
      </c>
    </row>
    <row r="98" spans="1:13" x14ac:dyDescent="0.25">
      <c r="A98" s="2">
        <f t="shared" si="2"/>
        <v>97</v>
      </c>
      <c r="B98" s="2"/>
      <c r="C98" s="2"/>
      <c r="D98" s="2"/>
      <c r="E98" s="2"/>
      <c r="F98" s="4"/>
      <c r="G98" s="4"/>
      <c r="H98" s="4"/>
      <c r="I98" s="4"/>
      <c r="J98" s="4"/>
      <c r="K98" s="4"/>
      <c r="L98" s="4"/>
      <c r="M98" s="2">
        <f t="shared" si="3"/>
        <v>0</v>
      </c>
    </row>
    <row r="99" spans="1:13" x14ac:dyDescent="0.25">
      <c r="A99" s="2">
        <f t="shared" si="2"/>
        <v>98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>
        <f t="shared" si="3"/>
        <v>0</v>
      </c>
    </row>
    <row r="100" spans="1:13" x14ac:dyDescent="0.25">
      <c r="A100" s="2">
        <f t="shared" si="2"/>
        <v>99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>
        <f t="shared" si="3"/>
        <v>0</v>
      </c>
    </row>
    <row r="101" spans="1:13" x14ac:dyDescent="0.25">
      <c r="A101" s="2">
        <f t="shared" si="2"/>
        <v>100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>
        <f t="shared" si="3"/>
        <v>0</v>
      </c>
    </row>
    <row r="102" spans="1:13" x14ac:dyDescent="0.25">
      <c r="A102" s="2">
        <f t="shared" si="2"/>
        <v>101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>
        <f t="shared" si="3"/>
        <v>0</v>
      </c>
    </row>
    <row r="103" spans="1:13" x14ac:dyDescent="0.25">
      <c r="A103" s="2">
        <f t="shared" si="2"/>
        <v>102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>
        <f t="shared" si="3"/>
        <v>0</v>
      </c>
    </row>
    <row r="104" spans="1:13" x14ac:dyDescent="0.25">
      <c r="A104" s="2">
        <v>103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>
        <f t="shared" si="3"/>
        <v>0</v>
      </c>
    </row>
    <row r="105" spans="1:13" x14ac:dyDescent="0.25">
      <c r="A105" s="2">
        <v>104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>
        <f t="shared" si="3"/>
        <v>0</v>
      </c>
    </row>
    <row r="106" spans="1:13" x14ac:dyDescent="0.25">
      <c r="A106" s="2">
        <v>105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>
        <f t="shared" si="3"/>
        <v>0</v>
      </c>
    </row>
    <row r="107" spans="1:13" x14ac:dyDescent="0.25">
      <c r="A107" s="2">
        <v>106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>
        <f t="shared" si="3"/>
        <v>0</v>
      </c>
    </row>
    <row r="108" spans="1:13" x14ac:dyDescent="0.25">
      <c r="A108" s="2">
        <v>107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>
        <f t="shared" si="3"/>
        <v>0</v>
      </c>
    </row>
    <row r="109" spans="1:13" x14ac:dyDescent="0.25">
      <c r="A109" s="2">
        <v>108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>
        <f t="shared" si="3"/>
        <v>0</v>
      </c>
    </row>
    <row r="110" spans="1:13" x14ac:dyDescent="0.25">
      <c r="A110" s="2">
        <v>109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>
        <f t="shared" si="3"/>
        <v>0</v>
      </c>
    </row>
    <row r="111" spans="1:13" x14ac:dyDescent="0.25">
      <c r="A111" s="2">
        <v>110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>
        <f t="shared" si="3"/>
        <v>0</v>
      </c>
    </row>
    <row r="112" spans="1:13" x14ac:dyDescent="0.25">
      <c r="A112" s="2">
        <v>111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>
        <f t="shared" si="3"/>
        <v>0</v>
      </c>
    </row>
    <row r="113" spans="1:13" x14ac:dyDescent="0.25">
      <c r="A113" s="2">
        <v>112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>
        <f t="shared" si="3"/>
        <v>0</v>
      </c>
    </row>
    <row r="114" spans="1:13" x14ac:dyDescent="0.25">
      <c r="A114" s="2">
        <v>113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>
        <f t="shared" si="3"/>
        <v>0</v>
      </c>
    </row>
    <row r="115" spans="1:13" x14ac:dyDescent="0.25">
      <c r="A115" s="2">
        <v>114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>
        <f t="shared" si="3"/>
        <v>0</v>
      </c>
    </row>
    <row r="116" spans="1:13" x14ac:dyDescent="0.25">
      <c r="A116" s="2">
        <v>115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>
        <f t="shared" si="3"/>
        <v>0</v>
      </c>
    </row>
    <row r="117" spans="1:13" x14ac:dyDescent="0.25">
      <c r="A117" s="2">
        <v>116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>
        <f t="shared" si="3"/>
        <v>0</v>
      </c>
    </row>
    <row r="118" spans="1:13" x14ac:dyDescent="0.25">
      <c r="A118" s="2">
        <v>117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>
        <f t="shared" si="3"/>
        <v>0</v>
      </c>
    </row>
    <row r="119" spans="1:13" x14ac:dyDescent="0.25">
      <c r="A119" s="2">
        <v>118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>
        <f t="shared" si="3"/>
        <v>0</v>
      </c>
    </row>
    <row r="120" spans="1:13" x14ac:dyDescent="0.25">
      <c r="A120" s="2">
        <v>119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x14ac:dyDescent="0.25">
      <c r="A121" s="2">
        <v>120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x14ac:dyDescent="0.25">
      <c r="A122" s="2">
        <v>122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x14ac:dyDescent="0.25">
      <c r="A123" s="2">
        <v>123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x14ac:dyDescent="0.25">
      <c r="A124" s="2">
        <v>124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x14ac:dyDescent="0.25">
      <c r="A125" s="2">
        <v>125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</sheetData>
  <pageMargins left="0.25" right="0.25" top="0.75" bottom="0.75" header="0.3" footer="0.3"/>
  <pageSetup scale="95" orientation="landscape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1F7D57-20FB-4F8A-94BA-D2E6C8826953}">
          <x14:formula1>
            <xm:f>مرجع!$C$2:$C$5</xm:f>
          </x14:formula1>
          <xm:sqref>B2:B1048576</xm:sqref>
        </x14:dataValidation>
        <x14:dataValidation type="list" allowBlank="1" showInputMessage="1" showErrorMessage="1" xr:uid="{2A661A20-525D-4562-9469-017132F3F701}">
          <x14:formula1>
            <xm:f>مرجع!$F$2:$F$13</xm:f>
          </x14:formula1>
          <xm:sqref>C2:C1048576</xm:sqref>
        </x14:dataValidation>
        <x14:dataValidation type="list" allowBlank="1" showInputMessage="1" showErrorMessage="1" xr:uid="{18CDEA84-F510-4F06-8FA0-74473200BABE}">
          <x14:formula1>
            <xm:f>مرجع!$D$2:$D$6</xm:f>
          </x14:formula1>
          <xm:sqref>D2:D1048576</xm:sqref>
        </x14:dataValidation>
        <x14:dataValidation type="list" allowBlank="1" showInputMessage="1" showErrorMessage="1" xr:uid="{D9598358-9378-4965-A2DE-D744AE2A9A58}">
          <x14:formula1>
            <xm:f>مرجع!$N$2:$N$5</xm:f>
          </x14:formula1>
          <xm:sqref>E2:E1048576</xm:sqref>
        </x14:dataValidation>
        <x14:dataValidation type="list" allowBlank="1" showInputMessage="1" showErrorMessage="1" xr:uid="{5776497A-712F-4804-A780-DA33A0D56D0D}">
          <x14:formula1>
            <xm:f>مرجع!$AE$2:$AE$6</xm:f>
          </x14:formula1>
          <xm:sqref>F2:L1048576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0F0A4-8E49-4D2D-9408-D7FBC657B822}">
  <sheetPr>
    <pageSetUpPr fitToPage="1"/>
  </sheetPr>
  <dimension ref="A1:R503"/>
  <sheetViews>
    <sheetView rightToLeft="1" zoomScale="85" zoomScaleNormal="85" workbookViewId="0">
      <selection activeCell="O19" sqref="O19"/>
    </sheetView>
  </sheetViews>
  <sheetFormatPr defaultRowHeight="15" x14ac:dyDescent="0.25"/>
  <cols>
    <col min="1" max="4" width="9.140625" style="3"/>
    <col min="5" max="5" width="19.7109375" style="3" customWidth="1"/>
    <col min="6" max="6" width="25.28515625" bestFit="1" customWidth="1"/>
    <col min="8" max="8" width="12.7109375" bestFit="1" customWidth="1"/>
    <col min="9" max="9" width="17.140625" bestFit="1" customWidth="1"/>
    <col min="10" max="10" width="12.7109375" bestFit="1" customWidth="1"/>
    <col min="11" max="11" width="39.7109375" bestFit="1" customWidth="1"/>
    <col min="12" max="12" width="25.28515625" bestFit="1" customWidth="1"/>
    <col min="13" max="13" width="11.140625" customWidth="1"/>
    <col min="14" max="14" width="28.28515625" bestFit="1" customWidth="1"/>
    <col min="15" max="15" width="29.7109375" bestFit="1" customWidth="1"/>
    <col min="16" max="16" width="39.42578125" bestFit="1" customWidth="1"/>
    <col min="17" max="17" width="26.85546875" bestFit="1" customWidth="1"/>
  </cols>
  <sheetData>
    <row r="1" spans="1:18" ht="22.5" x14ac:dyDescent="0.55000000000000004">
      <c r="A1" s="1" t="s">
        <v>483</v>
      </c>
      <c r="B1" s="1" t="s">
        <v>484</v>
      </c>
      <c r="C1" s="1" t="s">
        <v>485</v>
      </c>
      <c r="D1" s="1" t="s">
        <v>486</v>
      </c>
      <c r="E1" s="1" t="s">
        <v>487</v>
      </c>
      <c r="F1" s="1" t="s">
        <v>493</v>
      </c>
      <c r="G1" s="1" t="s">
        <v>494</v>
      </c>
      <c r="H1" s="1" t="s">
        <v>503</v>
      </c>
      <c r="I1" s="1" t="s">
        <v>495</v>
      </c>
      <c r="J1" s="1" t="s">
        <v>499</v>
      </c>
      <c r="K1" s="1" t="s">
        <v>505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504</v>
      </c>
      <c r="R1" s="1" t="s">
        <v>498</v>
      </c>
    </row>
    <row r="2" spans="1:18" x14ac:dyDescent="0.25">
      <c r="A2" s="2">
        <f>ROW(A2)-1</f>
        <v>1</v>
      </c>
      <c r="B2" s="2">
        <v>1405</v>
      </c>
      <c r="C2" s="2" t="s">
        <v>54</v>
      </c>
      <c r="D2" s="2">
        <v>2</v>
      </c>
      <c r="E2" s="2" t="s">
        <v>460</v>
      </c>
      <c r="F2" s="2">
        <v>4</v>
      </c>
      <c r="G2" s="2">
        <v>5</v>
      </c>
      <c r="H2" s="2">
        <v>4</v>
      </c>
      <c r="I2" s="2">
        <v>4</v>
      </c>
      <c r="J2" s="2">
        <v>4</v>
      </c>
      <c r="K2" s="2">
        <v>4</v>
      </c>
      <c r="L2" s="2">
        <v>4</v>
      </c>
      <c r="M2" s="2">
        <v>5</v>
      </c>
      <c r="N2" s="2">
        <v>4</v>
      </c>
      <c r="O2" s="2">
        <v>3</v>
      </c>
      <c r="P2" s="2">
        <v>4</v>
      </c>
      <c r="Q2" s="2">
        <v>4</v>
      </c>
      <c r="R2" s="2">
        <f>((F2)+(G2)+(H2)+(I2*2)+(J2)+(K2*2)+(L2)+(M2)+(N2*2)+(O2)+(P2)+(Q2))/15</f>
        <v>4.0666666666666664</v>
      </c>
    </row>
    <row r="3" spans="1:18" x14ac:dyDescent="0.25">
      <c r="A3" s="2">
        <f t="shared" ref="A3:A65" si="0">ROW(A3)-1</f>
        <v>2</v>
      </c>
      <c r="B3" s="2">
        <v>1405</v>
      </c>
      <c r="C3" s="2" t="s">
        <v>54</v>
      </c>
      <c r="D3" s="2">
        <v>2</v>
      </c>
      <c r="E3" s="2" t="s">
        <v>462</v>
      </c>
      <c r="F3" s="2">
        <v>4</v>
      </c>
      <c r="G3" s="2">
        <v>4</v>
      </c>
      <c r="H3" s="2">
        <v>4</v>
      </c>
      <c r="I3" s="2">
        <v>3</v>
      </c>
      <c r="J3" s="2">
        <v>3</v>
      </c>
      <c r="K3" s="2">
        <v>3</v>
      </c>
      <c r="L3" s="2">
        <v>3</v>
      </c>
      <c r="M3" s="2">
        <v>4</v>
      </c>
      <c r="N3" s="2">
        <v>4</v>
      </c>
      <c r="O3" s="2">
        <v>4</v>
      </c>
      <c r="P3" s="2">
        <v>4</v>
      </c>
      <c r="Q3" s="2">
        <v>3</v>
      </c>
      <c r="R3" s="2">
        <f t="shared" ref="R3:R65" si="1">((F3)+(G3)+(H3)+(I3*2)+(J3)+(K3*2)+(L3)+(M3)+(N3*2)+(O3)+(P3)+(Q3))/15</f>
        <v>3.5333333333333332</v>
      </c>
    </row>
    <row r="4" spans="1:18" x14ac:dyDescent="0.25">
      <c r="A4" s="2">
        <f t="shared" si="0"/>
        <v>3</v>
      </c>
      <c r="B4" s="2">
        <v>1405</v>
      </c>
      <c r="C4" s="2" t="s">
        <v>54</v>
      </c>
      <c r="D4" s="2">
        <v>2</v>
      </c>
      <c r="E4" s="2" t="s">
        <v>463</v>
      </c>
      <c r="F4" s="2">
        <v>4</v>
      </c>
      <c r="G4" s="2">
        <v>4</v>
      </c>
      <c r="H4" s="2">
        <v>4</v>
      </c>
      <c r="I4" s="2">
        <v>4</v>
      </c>
      <c r="J4" s="2">
        <v>4</v>
      </c>
      <c r="K4" s="2">
        <v>4</v>
      </c>
      <c r="L4" s="2">
        <v>3</v>
      </c>
      <c r="M4" s="2">
        <v>4</v>
      </c>
      <c r="N4" s="2">
        <v>4</v>
      </c>
      <c r="O4" s="2">
        <v>4</v>
      </c>
      <c r="P4" s="2">
        <v>4</v>
      </c>
      <c r="Q4" s="2">
        <v>4</v>
      </c>
      <c r="R4" s="2">
        <f t="shared" si="1"/>
        <v>3.9333333333333331</v>
      </c>
    </row>
    <row r="5" spans="1:18" x14ac:dyDescent="0.25">
      <c r="A5" s="2">
        <f t="shared" si="0"/>
        <v>4</v>
      </c>
      <c r="B5" s="2">
        <v>1405</v>
      </c>
      <c r="C5" s="2" t="s">
        <v>54</v>
      </c>
      <c r="D5" s="2">
        <v>2</v>
      </c>
      <c r="E5" s="2" t="s">
        <v>47</v>
      </c>
      <c r="F5" s="2">
        <v>4</v>
      </c>
      <c r="G5" s="2">
        <v>4</v>
      </c>
      <c r="H5" s="2">
        <v>4</v>
      </c>
      <c r="I5" s="2">
        <v>4</v>
      </c>
      <c r="J5" s="2">
        <v>4</v>
      </c>
      <c r="K5" s="2">
        <v>4</v>
      </c>
      <c r="L5" s="2">
        <v>5</v>
      </c>
      <c r="M5" s="2">
        <v>4</v>
      </c>
      <c r="N5" s="2">
        <v>4</v>
      </c>
      <c r="O5" s="2">
        <v>4</v>
      </c>
      <c r="P5" s="2">
        <v>4</v>
      </c>
      <c r="Q5" s="2">
        <v>4</v>
      </c>
      <c r="R5" s="2">
        <f t="shared" si="1"/>
        <v>4.0666666666666664</v>
      </c>
    </row>
    <row r="6" spans="1:18" x14ac:dyDescent="0.25">
      <c r="A6" s="2">
        <f t="shared" si="0"/>
        <v>5</v>
      </c>
      <c r="B6" s="2">
        <v>1405</v>
      </c>
      <c r="C6" s="2" t="s">
        <v>54</v>
      </c>
      <c r="D6" s="2">
        <v>2</v>
      </c>
      <c r="E6" s="2" t="s">
        <v>464</v>
      </c>
      <c r="F6" s="2">
        <v>4</v>
      </c>
      <c r="G6" s="2">
        <v>4</v>
      </c>
      <c r="H6" s="2">
        <v>4</v>
      </c>
      <c r="I6" s="2">
        <v>4</v>
      </c>
      <c r="J6" s="2">
        <v>4</v>
      </c>
      <c r="K6" s="2">
        <v>4</v>
      </c>
      <c r="L6" s="2">
        <v>4</v>
      </c>
      <c r="M6" s="2">
        <v>4</v>
      </c>
      <c r="N6" s="2">
        <v>4</v>
      </c>
      <c r="O6" s="2">
        <v>4</v>
      </c>
      <c r="P6" s="2">
        <v>4</v>
      </c>
      <c r="Q6" s="2">
        <v>4</v>
      </c>
      <c r="R6" s="2">
        <f t="shared" si="1"/>
        <v>4</v>
      </c>
    </row>
    <row r="7" spans="1:18" x14ac:dyDescent="0.25">
      <c r="A7" s="2">
        <f t="shared" si="0"/>
        <v>6</v>
      </c>
      <c r="B7" s="2">
        <v>1405</v>
      </c>
      <c r="C7" s="2" t="s">
        <v>54</v>
      </c>
      <c r="D7" s="2">
        <v>2</v>
      </c>
      <c r="E7" s="2" t="s">
        <v>46</v>
      </c>
      <c r="F7" s="2">
        <v>5</v>
      </c>
      <c r="G7" s="2">
        <v>4</v>
      </c>
      <c r="H7" s="2">
        <v>5</v>
      </c>
      <c r="I7" s="2">
        <v>5</v>
      </c>
      <c r="J7" s="2">
        <v>4</v>
      </c>
      <c r="K7" s="2">
        <v>5</v>
      </c>
      <c r="L7" s="2">
        <v>5</v>
      </c>
      <c r="M7" s="2">
        <v>5</v>
      </c>
      <c r="N7" s="2">
        <v>5</v>
      </c>
      <c r="O7" s="2">
        <v>5</v>
      </c>
      <c r="P7" s="2">
        <v>5</v>
      </c>
      <c r="Q7" s="2">
        <v>5</v>
      </c>
      <c r="R7" s="2">
        <f t="shared" si="1"/>
        <v>4.8666666666666663</v>
      </c>
    </row>
    <row r="8" spans="1:18" x14ac:dyDescent="0.25">
      <c r="A8" s="2">
        <f t="shared" si="0"/>
        <v>7</v>
      </c>
      <c r="B8" s="2">
        <v>1405</v>
      </c>
      <c r="C8" s="2" t="s">
        <v>54</v>
      </c>
      <c r="D8" s="2">
        <v>2</v>
      </c>
      <c r="E8" s="2" t="s">
        <v>465</v>
      </c>
      <c r="F8" s="2">
        <v>4</v>
      </c>
      <c r="G8" s="2">
        <v>4</v>
      </c>
      <c r="H8" s="2">
        <v>4</v>
      </c>
      <c r="I8" s="2">
        <v>4</v>
      </c>
      <c r="J8" s="2">
        <v>3</v>
      </c>
      <c r="K8" s="2">
        <v>3</v>
      </c>
      <c r="L8" s="2">
        <v>4</v>
      </c>
      <c r="M8" s="2">
        <v>4</v>
      </c>
      <c r="N8" s="2">
        <v>4</v>
      </c>
      <c r="O8" s="2">
        <v>4</v>
      </c>
      <c r="P8" s="2">
        <v>4</v>
      </c>
      <c r="Q8" s="2">
        <v>4</v>
      </c>
      <c r="R8" s="2">
        <f t="shared" si="1"/>
        <v>3.8</v>
      </c>
    </row>
    <row r="9" spans="1:18" x14ac:dyDescent="0.25">
      <c r="A9" s="2">
        <f t="shared" si="0"/>
        <v>8</v>
      </c>
      <c r="B9" s="2">
        <v>1405</v>
      </c>
      <c r="C9" s="2" t="s">
        <v>54</v>
      </c>
      <c r="D9" s="2">
        <v>2</v>
      </c>
      <c r="E9" s="2" t="s">
        <v>41</v>
      </c>
      <c r="F9" s="2">
        <v>5</v>
      </c>
      <c r="G9" s="2">
        <v>4</v>
      </c>
      <c r="H9" s="2">
        <v>4</v>
      </c>
      <c r="I9" s="2">
        <v>4</v>
      </c>
      <c r="J9" s="2">
        <v>4</v>
      </c>
      <c r="K9" s="2">
        <v>4</v>
      </c>
      <c r="L9" s="2">
        <v>5</v>
      </c>
      <c r="M9" s="2">
        <v>5</v>
      </c>
      <c r="N9" s="2">
        <v>5</v>
      </c>
      <c r="O9" s="2">
        <v>5</v>
      </c>
      <c r="P9" s="2">
        <v>5</v>
      </c>
      <c r="Q9" s="2">
        <v>5</v>
      </c>
      <c r="R9" s="2">
        <f t="shared" si="1"/>
        <v>4.5333333333333332</v>
      </c>
    </row>
    <row r="10" spans="1:18" x14ac:dyDescent="0.25">
      <c r="A10" s="2">
        <v>9</v>
      </c>
      <c r="B10" s="2">
        <v>1405</v>
      </c>
      <c r="C10" s="2" t="s">
        <v>54</v>
      </c>
      <c r="D10" s="2">
        <v>2</v>
      </c>
      <c r="E10" s="2" t="s">
        <v>482</v>
      </c>
      <c r="F10" s="2">
        <v>4</v>
      </c>
      <c r="G10" s="2">
        <v>4</v>
      </c>
      <c r="H10" s="2">
        <v>4</v>
      </c>
      <c r="I10" s="2">
        <v>3</v>
      </c>
      <c r="J10" s="2">
        <v>3</v>
      </c>
      <c r="K10" s="2">
        <v>4</v>
      </c>
      <c r="L10" s="2">
        <v>3</v>
      </c>
      <c r="M10" s="2">
        <v>4</v>
      </c>
      <c r="N10" s="2">
        <v>4</v>
      </c>
      <c r="O10" s="2">
        <v>3</v>
      </c>
      <c r="P10" s="2">
        <v>4</v>
      </c>
      <c r="Q10" s="2">
        <v>4</v>
      </c>
      <c r="R10" s="2">
        <f t="shared" si="1"/>
        <v>3.6666666666666665</v>
      </c>
    </row>
    <row r="11" spans="1:18" x14ac:dyDescent="0.25">
      <c r="A11" s="2">
        <f t="shared" si="0"/>
        <v>10</v>
      </c>
      <c r="B11" s="2">
        <v>1405</v>
      </c>
      <c r="C11" s="2" t="s">
        <v>54</v>
      </c>
      <c r="D11" s="2">
        <v>3</v>
      </c>
      <c r="E11" s="2" t="s">
        <v>460</v>
      </c>
      <c r="F11" s="2">
        <v>5</v>
      </c>
      <c r="G11" s="2">
        <v>5</v>
      </c>
      <c r="H11" s="2">
        <v>4</v>
      </c>
      <c r="I11" s="2">
        <v>5</v>
      </c>
      <c r="J11" s="2">
        <v>4</v>
      </c>
      <c r="K11" s="2">
        <v>4</v>
      </c>
      <c r="L11" s="2">
        <v>5</v>
      </c>
      <c r="M11" s="2">
        <v>4</v>
      </c>
      <c r="N11" s="2">
        <v>4</v>
      </c>
      <c r="O11" s="2">
        <v>4</v>
      </c>
      <c r="P11" s="2">
        <v>5</v>
      </c>
      <c r="Q11" s="2">
        <v>4</v>
      </c>
      <c r="R11" s="2">
        <f t="shared" si="1"/>
        <v>4.4000000000000004</v>
      </c>
    </row>
    <row r="12" spans="1:18" x14ac:dyDescent="0.25">
      <c r="A12" s="2">
        <f t="shared" si="0"/>
        <v>11</v>
      </c>
      <c r="B12" s="2">
        <v>1405</v>
      </c>
      <c r="C12" s="2" t="s">
        <v>54</v>
      </c>
      <c r="D12" s="2">
        <v>3</v>
      </c>
      <c r="E12" s="2" t="s">
        <v>462</v>
      </c>
      <c r="F12" s="2">
        <v>4</v>
      </c>
      <c r="G12" s="2">
        <v>4</v>
      </c>
      <c r="H12" s="2">
        <v>4</v>
      </c>
      <c r="I12" s="2">
        <v>4</v>
      </c>
      <c r="J12" s="2">
        <v>2</v>
      </c>
      <c r="K12" s="2">
        <v>4</v>
      </c>
      <c r="L12" s="2">
        <v>3</v>
      </c>
      <c r="M12" s="2">
        <v>4</v>
      </c>
      <c r="N12" s="2">
        <v>3</v>
      </c>
      <c r="O12" s="2">
        <v>3</v>
      </c>
      <c r="P12" s="2">
        <v>4</v>
      </c>
      <c r="Q12" s="2">
        <v>3</v>
      </c>
      <c r="R12" s="2">
        <f t="shared" si="1"/>
        <v>3.5333333333333332</v>
      </c>
    </row>
    <row r="13" spans="1:18" x14ac:dyDescent="0.25">
      <c r="A13" s="2">
        <f t="shared" si="0"/>
        <v>12</v>
      </c>
      <c r="B13" s="2">
        <v>1405</v>
      </c>
      <c r="C13" s="2" t="s">
        <v>54</v>
      </c>
      <c r="D13" s="2">
        <v>3</v>
      </c>
      <c r="E13" s="2" t="s">
        <v>463</v>
      </c>
      <c r="F13" s="2">
        <v>4</v>
      </c>
      <c r="G13" s="2">
        <v>4</v>
      </c>
      <c r="H13" s="2">
        <v>4</v>
      </c>
      <c r="I13" s="2">
        <v>4</v>
      </c>
      <c r="J13" s="2">
        <v>5</v>
      </c>
      <c r="K13" s="2">
        <v>4</v>
      </c>
      <c r="L13" s="2">
        <v>3</v>
      </c>
      <c r="M13" s="2">
        <v>4</v>
      </c>
      <c r="N13" s="2">
        <v>4</v>
      </c>
      <c r="O13" s="2">
        <v>4</v>
      </c>
      <c r="P13" s="2">
        <v>4</v>
      </c>
      <c r="Q13" s="2">
        <v>4</v>
      </c>
      <c r="R13" s="2">
        <f t="shared" si="1"/>
        <v>4</v>
      </c>
    </row>
    <row r="14" spans="1:18" x14ac:dyDescent="0.25">
      <c r="A14" s="2">
        <f t="shared" si="0"/>
        <v>13</v>
      </c>
      <c r="B14" s="2">
        <v>1405</v>
      </c>
      <c r="C14" s="2" t="s">
        <v>54</v>
      </c>
      <c r="D14" s="2">
        <v>3</v>
      </c>
      <c r="E14" s="2" t="s">
        <v>47</v>
      </c>
      <c r="F14" s="2">
        <v>5</v>
      </c>
      <c r="G14" s="2">
        <v>4</v>
      </c>
      <c r="H14" s="2">
        <v>4</v>
      </c>
      <c r="I14" s="2">
        <v>5</v>
      </c>
      <c r="J14" s="2">
        <v>3</v>
      </c>
      <c r="K14" s="2">
        <v>4</v>
      </c>
      <c r="L14" s="2">
        <v>3</v>
      </c>
      <c r="M14" s="2">
        <v>4</v>
      </c>
      <c r="N14" s="2">
        <v>3</v>
      </c>
      <c r="O14" s="2">
        <v>3</v>
      </c>
      <c r="P14" s="2">
        <v>4</v>
      </c>
      <c r="Q14" s="2">
        <v>3</v>
      </c>
      <c r="R14" s="2">
        <f t="shared" si="1"/>
        <v>3.8</v>
      </c>
    </row>
    <row r="15" spans="1:18" x14ac:dyDescent="0.25">
      <c r="A15" s="2">
        <f t="shared" si="0"/>
        <v>14</v>
      </c>
      <c r="B15" s="2">
        <v>1405</v>
      </c>
      <c r="C15" s="2" t="s">
        <v>54</v>
      </c>
      <c r="D15" s="2">
        <v>3</v>
      </c>
      <c r="E15" s="2" t="s">
        <v>464</v>
      </c>
      <c r="F15" s="2">
        <v>4</v>
      </c>
      <c r="G15" s="2">
        <v>5</v>
      </c>
      <c r="H15" s="2">
        <v>3</v>
      </c>
      <c r="I15" s="2">
        <v>4</v>
      </c>
      <c r="J15" s="2">
        <v>4</v>
      </c>
      <c r="K15" s="2">
        <v>4</v>
      </c>
      <c r="L15" s="2">
        <v>5</v>
      </c>
      <c r="M15" s="2">
        <v>4</v>
      </c>
      <c r="N15" s="2">
        <v>4</v>
      </c>
      <c r="O15" s="2">
        <v>3</v>
      </c>
      <c r="P15" s="2">
        <v>4</v>
      </c>
      <c r="Q15" s="2">
        <v>4</v>
      </c>
      <c r="R15" s="2">
        <f t="shared" si="1"/>
        <v>4</v>
      </c>
    </row>
    <row r="16" spans="1:18" x14ac:dyDescent="0.25">
      <c r="A16" s="2">
        <f t="shared" si="0"/>
        <v>15</v>
      </c>
      <c r="B16" s="2">
        <v>1405</v>
      </c>
      <c r="C16" s="2" t="s">
        <v>54</v>
      </c>
      <c r="D16" s="2">
        <v>3</v>
      </c>
      <c r="E16" s="2" t="s">
        <v>46</v>
      </c>
      <c r="F16" s="2">
        <v>5</v>
      </c>
      <c r="G16" s="2">
        <v>5</v>
      </c>
      <c r="H16" s="2">
        <v>4</v>
      </c>
      <c r="I16" s="2">
        <v>5</v>
      </c>
      <c r="J16" s="2">
        <v>4</v>
      </c>
      <c r="K16" s="2">
        <v>5</v>
      </c>
      <c r="L16" s="2">
        <v>5</v>
      </c>
      <c r="M16" s="2">
        <v>5</v>
      </c>
      <c r="N16" s="2">
        <v>4</v>
      </c>
      <c r="O16" s="2">
        <v>4</v>
      </c>
      <c r="P16" s="2">
        <v>4</v>
      </c>
      <c r="Q16" s="2">
        <v>4</v>
      </c>
      <c r="R16" s="2">
        <f t="shared" si="1"/>
        <v>4.5333333333333332</v>
      </c>
    </row>
    <row r="17" spans="1:18" x14ac:dyDescent="0.25">
      <c r="A17" s="2">
        <f t="shared" si="0"/>
        <v>16</v>
      </c>
      <c r="B17" s="2">
        <v>1405</v>
      </c>
      <c r="C17" s="2" t="s">
        <v>54</v>
      </c>
      <c r="D17" s="2">
        <v>3</v>
      </c>
      <c r="E17" s="2" t="s">
        <v>465</v>
      </c>
      <c r="F17" s="2">
        <v>4</v>
      </c>
      <c r="G17" s="2">
        <v>2</v>
      </c>
      <c r="H17" s="2">
        <v>3</v>
      </c>
      <c r="I17" s="2">
        <v>3</v>
      </c>
      <c r="J17" s="2">
        <v>3</v>
      </c>
      <c r="K17" s="2">
        <v>3</v>
      </c>
      <c r="L17" s="2">
        <v>3</v>
      </c>
      <c r="M17" s="2">
        <v>3</v>
      </c>
      <c r="N17" s="2">
        <v>3</v>
      </c>
      <c r="O17" s="2">
        <v>3</v>
      </c>
      <c r="P17" s="2">
        <v>4</v>
      </c>
      <c r="Q17" s="2">
        <v>3</v>
      </c>
      <c r="R17" s="2">
        <f t="shared" si="1"/>
        <v>3.0666666666666669</v>
      </c>
    </row>
    <row r="18" spans="1:18" x14ac:dyDescent="0.25">
      <c r="A18" s="2">
        <f t="shared" si="0"/>
        <v>17</v>
      </c>
      <c r="B18" s="2">
        <v>1405</v>
      </c>
      <c r="C18" s="2" t="s">
        <v>54</v>
      </c>
      <c r="D18" s="2">
        <v>3</v>
      </c>
      <c r="E18" s="2" t="s">
        <v>41</v>
      </c>
      <c r="F18" s="2">
        <v>5</v>
      </c>
      <c r="G18" s="2">
        <v>4</v>
      </c>
      <c r="H18" s="2">
        <v>5</v>
      </c>
      <c r="I18" s="2">
        <v>5</v>
      </c>
      <c r="J18" s="2">
        <v>5</v>
      </c>
      <c r="K18" s="2">
        <v>4</v>
      </c>
      <c r="L18" s="2">
        <v>5</v>
      </c>
      <c r="M18" s="2">
        <v>4</v>
      </c>
      <c r="N18" s="2">
        <v>5</v>
      </c>
      <c r="O18" s="2">
        <v>5</v>
      </c>
      <c r="P18" s="2">
        <v>4</v>
      </c>
      <c r="Q18" s="2">
        <v>4</v>
      </c>
      <c r="R18" s="2">
        <f t="shared" si="1"/>
        <v>4.5999999999999996</v>
      </c>
    </row>
    <row r="19" spans="1:18" x14ac:dyDescent="0.25">
      <c r="A19" s="2">
        <v>19</v>
      </c>
      <c r="B19" s="2">
        <v>1405</v>
      </c>
      <c r="C19" s="2" t="s">
        <v>54</v>
      </c>
      <c r="D19" s="2">
        <v>3</v>
      </c>
      <c r="E19" s="2" t="s">
        <v>482</v>
      </c>
      <c r="F19" s="2">
        <v>5</v>
      </c>
      <c r="G19" s="2">
        <v>4</v>
      </c>
      <c r="H19" s="2">
        <v>4</v>
      </c>
      <c r="I19" s="2">
        <v>5</v>
      </c>
      <c r="J19" s="2">
        <v>4</v>
      </c>
      <c r="K19" s="2">
        <v>3</v>
      </c>
      <c r="L19" s="2"/>
      <c r="M19" s="2">
        <v>4</v>
      </c>
      <c r="N19" s="2">
        <v>4</v>
      </c>
      <c r="O19" s="2">
        <v>4</v>
      </c>
      <c r="P19" s="2">
        <v>4</v>
      </c>
      <c r="Q19" s="2">
        <v>4</v>
      </c>
      <c r="R19" s="2">
        <f t="shared" si="1"/>
        <v>3.8</v>
      </c>
    </row>
    <row r="20" spans="1:18" x14ac:dyDescent="0.25">
      <c r="A20" s="2">
        <f t="shared" si="0"/>
        <v>19</v>
      </c>
      <c r="B20" s="2">
        <v>1405</v>
      </c>
      <c r="C20" s="2" t="s">
        <v>54</v>
      </c>
      <c r="D20" s="2">
        <v>4</v>
      </c>
      <c r="E20" s="2" t="s">
        <v>460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>
        <f t="shared" si="1"/>
        <v>0</v>
      </c>
    </row>
    <row r="21" spans="1:18" x14ac:dyDescent="0.25">
      <c r="A21" s="2">
        <f t="shared" si="0"/>
        <v>20</v>
      </c>
      <c r="B21" s="2">
        <v>1405</v>
      </c>
      <c r="C21" s="2" t="s">
        <v>54</v>
      </c>
      <c r="D21" s="2">
        <v>4</v>
      </c>
      <c r="E21" s="2" t="s">
        <v>462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>
        <f t="shared" si="1"/>
        <v>0</v>
      </c>
    </row>
    <row r="22" spans="1:18" x14ac:dyDescent="0.25">
      <c r="A22" s="2">
        <f t="shared" si="0"/>
        <v>21</v>
      </c>
      <c r="B22" s="2">
        <v>1405</v>
      </c>
      <c r="C22" s="2" t="s">
        <v>54</v>
      </c>
      <c r="D22" s="2">
        <v>4</v>
      </c>
      <c r="E22" s="2" t="s">
        <v>463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>
        <f t="shared" si="1"/>
        <v>0</v>
      </c>
    </row>
    <row r="23" spans="1:18" x14ac:dyDescent="0.25">
      <c r="A23" s="2">
        <f t="shared" si="0"/>
        <v>22</v>
      </c>
      <c r="B23" s="2">
        <v>1405</v>
      </c>
      <c r="C23" s="2" t="s">
        <v>54</v>
      </c>
      <c r="D23" s="2">
        <v>4</v>
      </c>
      <c r="E23" s="2" t="s">
        <v>47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>
        <f t="shared" si="1"/>
        <v>0</v>
      </c>
    </row>
    <row r="24" spans="1:18" x14ac:dyDescent="0.25">
      <c r="A24" s="2">
        <f t="shared" si="0"/>
        <v>23</v>
      </c>
      <c r="B24" s="2">
        <v>1405</v>
      </c>
      <c r="C24" s="2" t="s">
        <v>54</v>
      </c>
      <c r="D24" s="2">
        <v>4</v>
      </c>
      <c r="E24" s="2" t="s">
        <v>464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>
        <f t="shared" si="1"/>
        <v>0</v>
      </c>
    </row>
    <row r="25" spans="1:18" x14ac:dyDescent="0.25">
      <c r="A25" s="2">
        <f t="shared" si="0"/>
        <v>24</v>
      </c>
      <c r="B25" s="2">
        <v>1405</v>
      </c>
      <c r="C25" s="2" t="s">
        <v>54</v>
      </c>
      <c r="D25" s="2">
        <v>4</v>
      </c>
      <c r="E25" s="2" t="s">
        <v>46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>
        <f t="shared" si="1"/>
        <v>0</v>
      </c>
    </row>
    <row r="26" spans="1:18" x14ac:dyDescent="0.25">
      <c r="A26" s="2">
        <f t="shared" si="0"/>
        <v>25</v>
      </c>
      <c r="B26" s="2">
        <v>1405</v>
      </c>
      <c r="C26" s="2" t="s">
        <v>54</v>
      </c>
      <c r="D26" s="2">
        <v>4</v>
      </c>
      <c r="E26" s="2" t="s">
        <v>465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>
        <f t="shared" si="1"/>
        <v>0</v>
      </c>
    </row>
    <row r="27" spans="1:18" x14ac:dyDescent="0.25">
      <c r="A27" s="2">
        <f t="shared" si="0"/>
        <v>26</v>
      </c>
      <c r="B27" s="2">
        <v>1405</v>
      </c>
      <c r="C27" s="2" t="s">
        <v>54</v>
      </c>
      <c r="D27" s="2">
        <v>4</v>
      </c>
      <c r="E27" s="2" t="s">
        <v>41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>
        <f t="shared" si="1"/>
        <v>0</v>
      </c>
    </row>
    <row r="28" spans="1:18" x14ac:dyDescent="0.25">
      <c r="A28" s="2">
        <f t="shared" si="0"/>
        <v>27</v>
      </c>
      <c r="B28" s="2">
        <v>1405</v>
      </c>
      <c r="C28" s="2" t="s">
        <v>54</v>
      </c>
      <c r="D28" s="2">
        <v>4</v>
      </c>
      <c r="E28" s="2" t="s">
        <v>482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>
        <f t="shared" si="1"/>
        <v>0</v>
      </c>
    </row>
    <row r="29" spans="1:18" x14ac:dyDescent="0.25">
      <c r="A29" s="2">
        <f t="shared" si="0"/>
        <v>28</v>
      </c>
      <c r="B29" s="2">
        <v>1405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>
        <f t="shared" si="1"/>
        <v>0</v>
      </c>
    </row>
    <row r="30" spans="1:18" x14ac:dyDescent="0.25">
      <c r="A30" s="2">
        <f t="shared" si="0"/>
        <v>29</v>
      </c>
      <c r="B30" s="2">
        <v>1405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>
        <f t="shared" si="1"/>
        <v>0</v>
      </c>
    </row>
    <row r="31" spans="1:18" x14ac:dyDescent="0.25">
      <c r="A31" s="2">
        <f t="shared" si="0"/>
        <v>30</v>
      </c>
      <c r="B31" s="2">
        <v>1405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>
        <f t="shared" si="1"/>
        <v>0</v>
      </c>
    </row>
    <row r="32" spans="1:18" x14ac:dyDescent="0.25">
      <c r="A32" s="2">
        <f t="shared" si="0"/>
        <v>31</v>
      </c>
      <c r="B32" s="2">
        <v>1405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>
        <f t="shared" si="1"/>
        <v>0</v>
      </c>
    </row>
    <row r="33" spans="1:18" x14ac:dyDescent="0.25">
      <c r="A33" s="2">
        <f t="shared" si="0"/>
        <v>32</v>
      </c>
      <c r="B33" s="2">
        <v>1405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>
        <f t="shared" si="1"/>
        <v>0</v>
      </c>
    </row>
    <row r="34" spans="1:18" x14ac:dyDescent="0.25">
      <c r="A34" s="2">
        <f t="shared" si="0"/>
        <v>33</v>
      </c>
      <c r="B34" s="2">
        <v>1405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>
        <f t="shared" si="1"/>
        <v>0</v>
      </c>
    </row>
    <row r="35" spans="1:18" x14ac:dyDescent="0.25">
      <c r="A35" s="2">
        <f t="shared" si="0"/>
        <v>34</v>
      </c>
      <c r="B35" s="2">
        <v>1405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>
        <f t="shared" si="1"/>
        <v>0</v>
      </c>
    </row>
    <row r="36" spans="1:18" x14ac:dyDescent="0.25">
      <c r="A36" s="2">
        <f t="shared" si="0"/>
        <v>35</v>
      </c>
      <c r="B36" s="2">
        <v>1405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>
        <f t="shared" si="1"/>
        <v>0</v>
      </c>
    </row>
    <row r="37" spans="1:18" x14ac:dyDescent="0.25">
      <c r="A37" s="2">
        <f t="shared" si="0"/>
        <v>36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>
        <f t="shared" si="1"/>
        <v>0</v>
      </c>
    </row>
    <row r="38" spans="1:18" x14ac:dyDescent="0.25">
      <c r="A38" s="2">
        <f t="shared" si="0"/>
        <v>37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>
        <f t="shared" si="1"/>
        <v>0</v>
      </c>
    </row>
    <row r="39" spans="1:18" x14ac:dyDescent="0.25">
      <c r="A39" s="2">
        <f t="shared" si="0"/>
        <v>38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>
        <f t="shared" si="1"/>
        <v>0</v>
      </c>
    </row>
    <row r="40" spans="1:18" x14ac:dyDescent="0.25">
      <c r="A40" s="2">
        <f t="shared" si="0"/>
        <v>39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>
        <f t="shared" si="1"/>
        <v>0</v>
      </c>
    </row>
    <row r="41" spans="1:18" x14ac:dyDescent="0.25">
      <c r="A41" s="2">
        <f t="shared" si="0"/>
        <v>40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>
        <f t="shared" si="1"/>
        <v>0</v>
      </c>
    </row>
    <row r="42" spans="1:18" x14ac:dyDescent="0.25">
      <c r="A42" s="2">
        <f t="shared" si="0"/>
        <v>41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>
        <f t="shared" si="1"/>
        <v>0</v>
      </c>
    </row>
    <row r="43" spans="1:18" x14ac:dyDescent="0.25">
      <c r="A43" s="2">
        <f t="shared" si="0"/>
        <v>42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>
        <f t="shared" si="1"/>
        <v>0</v>
      </c>
    </row>
    <row r="44" spans="1:18" x14ac:dyDescent="0.25">
      <c r="A44" s="2">
        <f t="shared" si="0"/>
        <v>43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>
        <f t="shared" si="1"/>
        <v>0</v>
      </c>
    </row>
    <row r="45" spans="1:18" x14ac:dyDescent="0.25">
      <c r="A45" s="2">
        <f t="shared" si="0"/>
        <v>44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>
        <f t="shared" si="1"/>
        <v>0</v>
      </c>
    </row>
    <row r="46" spans="1:18" x14ac:dyDescent="0.25">
      <c r="A46" s="2">
        <f t="shared" si="0"/>
        <v>45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>
        <f t="shared" si="1"/>
        <v>0</v>
      </c>
    </row>
    <row r="47" spans="1:18" x14ac:dyDescent="0.25">
      <c r="A47" s="2">
        <f t="shared" si="0"/>
        <v>46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>
        <f t="shared" si="1"/>
        <v>0</v>
      </c>
    </row>
    <row r="48" spans="1:18" x14ac:dyDescent="0.25">
      <c r="A48" s="2">
        <f t="shared" si="0"/>
        <v>47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>
        <f t="shared" si="1"/>
        <v>0</v>
      </c>
    </row>
    <row r="49" spans="1:18" x14ac:dyDescent="0.25">
      <c r="A49" s="2">
        <f t="shared" si="0"/>
        <v>48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>
        <f t="shared" si="1"/>
        <v>0</v>
      </c>
    </row>
    <row r="50" spans="1:18" x14ac:dyDescent="0.25">
      <c r="A50" s="2">
        <f t="shared" si="0"/>
        <v>49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>
        <f t="shared" si="1"/>
        <v>0</v>
      </c>
    </row>
    <row r="51" spans="1:18" x14ac:dyDescent="0.25">
      <c r="A51" s="2">
        <f t="shared" si="0"/>
        <v>50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>
        <f t="shared" si="1"/>
        <v>0</v>
      </c>
    </row>
    <row r="52" spans="1:18" x14ac:dyDescent="0.25">
      <c r="A52" s="2">
        <f t="shared" si="0"/>
        <v>51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>
        <f t="shared" si="1"/>
        <v>0</v>
      </c>
    </row>
    <row r="53" spans="1:18" x14ac:dyDescent="0.25">
      <c r="A53" s="2">
        <f t="shared" si="0"/>
        <v>52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>
        <f t="shared" si="1"/>
        <v>0</v>
      </c>
    </row>
    <row r="54" spans="1:18" x14ac:dyDescent="0.25">
      <c r="A54" s="2">
        <f t="shared" si="0"/>
        <v>53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>
        <f t="shared" si="1"/>
        <v>0</v>
      </c>
    </row>
    <row r="55" spans="1:18" x14ac:dyDescent="0.25">
      <c r="A55" s="2">
        <f t="shared" si="0"/>
        <v>54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>
        <f t="shared" si="1"/>
        <v>0</v>
      </c>
    </row>
    <row r="56" spans="1:18" x14ac:dyDescent="0.25">
      <c r="A56" s="2">
        <f t="shared" si="0"/>
        <v>55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>
        <f t="shared" si="1"/>
        <v>0</v>
      </c>
    </row>
    <row r="57" spans="1:18" x14ac:dyDescent="0.25">
      <c r="A57" s="2">
        <f t="shared" si="0"/>
        <v>56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>
        <f t="shared" si="1"/>
        <v>0</v>
      </c>
    </row>
    <row r="58" spans="1:18" x14ac:dyDescent="0.25">
      <c r="A58" s="2">
        <f t="shared" si="0"/>
        <v>57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>
        <f t="shared" si="1"/>
        <v>0</v>
      </c>
    </row>
    <row r="59" spans="1:18" x14ac:dyDescent="0.25">
      <c r="A59" s="2">
        <f t="shared" si="0"/>
        <v>58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>
        <f t="shared" si="1"/>
        <v>0</v>
      </c>
    </row>
    <row r="60" spans="1:18" x14ac:dyDescent="0.25">
      <c r="A60" s="2">
        <f t="shared" si="0"/>
        <v>59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>
        <f t="shared" si="1"/>
        <v>0</v>
      </c>
    </row>
    <row r="61" spans="1:18" x14ac:dyDescent="0.25">
      <c r="A61" s="2">
        <f t="shared" si="0"/>
        <v>60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>
        <f t="shared" si="1"/>
        <v>0</v>
      </c>
    </row>
    <row r="62" spans="1:18" x14ac:dyDescent="0.25">
      <c r="A62" s="2">
        <f t="shared" si="0"/>
        <v>61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>
        <f t="shared" si="1"/>
        <v>0</v>
      </c>
    </row>
    <row r="63" spans="1:18" x14ac:dyDescent="0.25">
      <c r="A63" s="2">
        <f t="shared" si="0"/>
        <v>62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>
        <f t="shared" si="1"/>
        <v>0</v>
      </c>
    </row>
    <row r="64" spans="1:18" x14ac:dyDescent="0.25">
      <c r="A64" s="2">
        <f t="shared" si="0"/>
        <v>63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>
        <f t="shared" si="1"/>
        <v>0</v>
      </c>
    </row>
    <row r="65" spans="1:18" x14ac:dyDescent="0.25">
      <c r="A65" s="2">
        <f t="shared" si="0"/>
        <v>64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>
        <f t="shared" si="1"/>
        <v>0</v>
      </c>
    </row>
    <row r="66" spans="1:18" x14ac:dyDescent="0.25">
      <c r="A66" s="2">
        <f t="shared" ref="A66:A129" si="2">ROW(A66)-1</f>
        <v>65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>
        <f t="shared" ref="R66:R129" si="3">((F66)+(G66)+(H66)+(I66*2)+(J66)+(K66*2)+(L66)+(M66)+(N66*2)+(O66)+(P66)+(Q66))/15</f>
        <v>0</v>
      </c>
    </row>
    <row r="67" spans="1:18" x14ac:dyDescent="0.25">
      <c r="A67" s="2">
        <f t="shared" si="2"/>
        <v>66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>
        <f t="shared" si="3"/>
        <v>0</v>
      </c>
    </row>
    <row r="68" spans="1:18" x14ac:dyDescent="0.25">
      <c r="A68" s="2">
        <f t="shared" si="2"/>
        <v>67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>
        <f t="shared" si="3"/>
        <v>0</v>
      </c>
    </row>
    <row r="69" spans="1:18" x14ac:dyDescent="0.25">
      <c r="A69" s="2">
        <f t="shared" si="2"/>
        <v>68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>
        <f t="shared" si="3"/>
        <v>0</v>
      </c>
    </row>
    <row r="70" spans="1:18" x14ac:dyDescent="0.25">
      <c r="A70" s="2">
        <f t="shared" si="2"/>
        <v>69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>
        <f t="shared" si="3"/>
        <v>0</v>
      </c>
    </row>
    <row r="71" spans="1:18" x14ac:dyDescent="0.25">
      <c r="A71" s="2">
        <f t="shared" si="2"/>
        <v>70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>
        <f t="shared" si="3"/>
        <v>0</v>
      </c>
    </row>
    <row r="72" spans="1:18" x14ac:dyDescent="0.25">
      <c r="A72" s="2">
        <f t="shared" si="2"/>
        <v>71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>
        <f t="shared" si="3"/>
        <v>0</v>
      </c>
    </row>
    <row r="73" spans="1:18" x14ac:dyDescent="0.25">
      <c r="A73" s="2">
        <f t="shared" si="2"/>
        <v>72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>
        <f t="shared" si="3"/>
        <v>0</v>
      </c>
    </row>
    <row r="74" spans="1:18" x14ac:dyDescent="0.25">
      <c r="A74" s="2">
        <f t="shared" si="2"/>
        <v>73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>
        <f t="shared" si="3"/>
        <v>0</v>
      </c>
    </row>
    <row r="75" spans="1:18" x14ac:dyDescent="0.25">
      <c r="A75" s="2">
        <f t="shared" si="2"/>
        <v>74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>
        <f t="shared" si="3"/>
        <v>0</v>
      </c>
    </row>
    <row r="76" spans="1:18" x14ac:dyDescent="0.25">
      <c r="A76" s="2">
        <f t="shared" si="2"/>
        <v>75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>
        <f t="shared" si="3"/>
        <v>0</v>
      </c>
    </row>
    <row r="77" spans="1:18" x14ac:dyDescent="0.25">
      <c r="A77" s="2">
        <f t="shared" si="2"/>
        <v>76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>
        <f t="shared" si="3"/>
        <v>0</v>
      </c>
    </row>
    <row r="78" spans="1:18" x14ac:dyDescent="0.25">
      <c r="A78" s="2">
        <f t="shared" si="2"/>
        <v>77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>
        <f t="shared" si="3"/>
        <v>0</v>
      </c>
    </row>
    <row r="79" spans="1:18" x14ac:dyDescent="0.25">
      <c r="A79" s="2">
        <f t="shared" si="2"/>
        <v>78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>
        <f t="shared" si="3"/>
        <v>0</v>
      </c>
    </row>
    <row r="80" spans="1:18" x14ac:dyDescent="0.25">
      <c r="A80" s="2">
        <f t="shared" si="2"/>
        <v>79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>
        <f t="shared" si="3"/>
        <v>0</v>
      </c>
    </row>
    <row r="81" spans="1:18" x14ac:dyDescent="0.25">
      <c r="A81" s="2">
        <f t="shared" si="2"/>
        <v>80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>
        <f t="shared" si="3"/>
        <v>0</v>
      </c>
    </row>
    <row r="82" spans="1:18" x14ac:dyDescent="0.25">
      <c r="A82" s="2">
        <f t="shared" si="2"/>
        <v>81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>
        <f t="shared" si="3"/>
        <v>0</v>
      </c>
    </row>
    <row r="83" spans="1:18" x14ac:dyDescent="0.25">
      <c r="A83" s="2">
        <f t="shared" si="2"/>
        <v>82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>
        <f t="shared" si="3"/>
        <v>0</v>
      </c>
    </row>
    <row r="84" spans="1:18" x14ac:dyDescent="0.25">
      <c r="A84" s="2">
        <f t="shared" si="2"/>
        <v>83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>
        <f t="shared" si="3"/>
        <v>0</v>
      </c>
    </row>
    <row r="85" spans="1:18" x14ac:dyDescent="0.25">
      <c r="A85" s="2">
        <f t="shared" si="2"/>
        <v>84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>
        <f t="shared" si="3"/>
        <v>0</v>
      </c>
    </row>
    <row r="86" spans="1:18" x14ac:dyDescent="0.25">
      <c r="A86" s="2">
        <f t="shared" si="2"/>
        <v>85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>
        <f t="shared" si="3"/>
        <v>0</v>
      </c>
    </row>
    <row r="87" spans="1:18" x14ac:dyDescent="0.25">
      <c r="A87" s="2">
        <f t="shared" si="2"/>
        <v>86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>
        <f t="shared" si="3"/>
        <v>0</v>
      </c>
    </row>
    <row r="88" spans="1:18" x14ac:dyDescent="0.25">
      <c r="A88" s="2">
        <f t="shared" si="2"/>
        <v>87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>
        <f t="shared" si="3"/>
        <v>0</v>
      </c>
    </row>
    <row r="89" spans="1:18" x14ac:dyDescent="0.25">
      <c r="A89" s="2">
        <f t="shared" si="2"/>
        <v>88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>
        <f t="shared" si="3"/>
        <v>0</v>
      </c>
    </row>
    <row r="90" spans="1:18" x14ac:dyDescent="0.25">
      <c r="A90" s="2">
        <f t="shared" si="2"/>
        <v>89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>
        <f t="shared" si="3"/>
        <v>0</v>
      </c>
    </row>
    <row r="91" spans="1:18" x14ac:dyDescent="0.25">
      <c r="A91" s="2">
        <f t="shared" si="2"/>
        <v>90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>
        <f t="shared" si="3"/>
        <v>0</v>
      </c>
    </row>
    <row r="92" spans="1:18" x14ac:dyDescent="0.25">
      <c r="A92" s="2">
        <f t="shared" si="2"/>
        <v>91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>
        <f t="shared" si="3"/>
        <v>0</v>
      </c>
    </row>
    <row r="93" spans="1:18" x14ac:dyDescent="0.25">
      <c r="A93" s="2">
        <f t="shared" si="2"/>
        <v>92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>
        <f t="shared" si="3"/>
        <v>0</v>
      </c>
    </row>
    <row r="94" spans="1:18" x14ac:dyDescent="0.25">
      <c r="A94" s="2">
        <f t="shared" si="2"/>
        <v>93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>
        <f t="shared" si="3"/>
        <v>0</v>
      </c>
    </row>
    <row r="95" spans="1:18" x14ac:dyDescent="0.25">
      <c r="A95" s="2">
        <f t="shared" si="2"/>
        <v>94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>
        <f t="shared" si="3"/>
        <v>0</v>
      </c>
    </row>
    <row r="96" spans="1:18" x14ac:dyDescent="0.25">
      <c r="A96" s="2">
        <f t="shared" si="2"/>
        <v>95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>
        <f t="shared" si="3"/>
        <v>0</v>
      </c>
    </row>
    <row r="97" spans="1:18" x14ac:dyDescent="0.25">
      <c r="A97" s="2">
        <f t="shared" si="2"/>
        <v>96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>
        <f t="shared" si="3"/>
        <v>0</v>
      </c>
    </row>
    <row r="98" spans="1:18" x14ac:dyDescent="0.25">
      <c r="A98" s="2">
        <f t="shared" si="2"/>
        <v>97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>
        <f t="shared" si="3"/>
        <v>0</v>
      </c>
    </row>
    <row r="99" spans="1:18" x14ac:dyDescent="0.25">
      <c r="A99" s="2">
        <f t="shared" si="2"/>
        <v>98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>
        <f t="shared" si="3"/>
        <v>0</v>
      </c>
    </row>
    <row r="100" spans="1:18" x14ac:dyDescent="0.25">
      <c r="A100" s="2">
        <f t="shared" si="2"/>
        <v>99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>
        <f t="shared" si="3"/>
        <v>0</v>
      </c>
    </row>
    <row r="101" spans="1:18" x14ac:dyDescent="0.25">
      <c r="A101" s="2">
        <f t="shared" si="2"/>
        <v>100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>
        <f t="shared" si="3"/>
        <v>0</v>
      </c>
    </row>
    <row r="102" spans="1:18" x14ac:dyDescent="0.25">
      <c r="A102" s="2">
        <f t="shared" si="2"/>
        <v>101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>
        <f t="shared" si="3"/>
        <v>0</v>
      </c>
    </row>
    <row r="103" spans="1:18" x14ac:dyDescent="0.25">
      <c r="A103" s="2">
        <f t="shared" si="2"/>
        <v>102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>
        <f t="shared" si="3"/>
        <v>0</v>
      </c>
    </row>
    <row r="104" spans="1:18" x14ac:dyDescent="0.25">
      <c r="A104" s="2">
        <f t="shared" si="2"/>
        <v>103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>
        <f t="shared" si="3"/>
        <v>0</v>
      </c>
    </row>
    <row r="105" spans="1:18" x14ac:dyDescent="0.25">
      <c r="A105" s="2">
        <f t="shared" si="2"/>
        <v>104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>
        <f t="shared" si="3"/>
        <v>0</v>
      </c>
    </row>
    <row r="106" spans="1:18" x14ac:dyDescent="0.25">
      <c r="A106" s="2">
        <f t="shared" si="2"/>
        <v>105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>
        <f t="shared" si="3"/>
        <v>0</v>
      </c>
    </row>
    <row r="107" spans="1:18" x14ac:dyDescent="0.25">
      <c r="A107" s="2">
        <f t="shared" si="2"/>
        <v>106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>
        <f t="shared" si="3"/>
        <v>0</v>
      </c>
    </row>
    <row r="108" spans="1:18" x14ac:dyDescent="0.25">
      <c r="A108" s="2">
        <f t="shared" si="2"/>
        <v>107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>
        <f t="shared" si="3"/>
        <v>0</v>
      </c>
    </row>
    <row r="109" spans="1:18" x14ac:dyDescent="0.25">
      <c r="A109" s="2">
        <f t="shared" si="2"/>
        <v>108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>
        <f t="shared" si="3"/>
        <v>0</v>
      </c>
    </row>
    <row r="110" spans="1:18" x14ac:dyDescent="0.25">
      <c r="A110" s="2">
        <f t="shared" si="2"/>
        <v>109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>
        <f t="shared" si="3"/>
        <v>0</v>
      </c>
    </row>
    <row r="111" spans="1:18" x14ac:dyDescent="0.25">
      <c r="A111" s="2">
        <f t="shared" si="2"/>
        <v>110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>
        <f t="shared" si="3"/>
        <v>0</v>
      </c>
    </row>
    <row r="112" spans="1:18" x14ac:dyDescent="0.25">
      <c r="A112" s="2">
        <f t="shared" si="2"/>
        <v>111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>
        <f t="shared" si="3"/>
        <v>0</v>
      </c>
    </row>
    <row r="113" spans="1:18" x14ac:dyDescent="0.25">
      <c r="A113" s="2">
        <f t="shared" si="2"/>
        <v>112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>
        <f t="shared" si="3"/>
        <v>0</v>
      </c>
    </row>
    <row r="114" spans="1:18" x14ac:dyDescent="0.25">
      <c r="A114" s="2">
        <f t="shared" si="2"/>
        <v>113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>
        <f t="shared" si="3"/>
        <v>0</v>
      </c>
    </row>
    <row r="115" spans="1:18" x14ac:dyDescent="0.25">
      <c r="A115" s="2">
        <f t="shared" si="2"/>
        <v>114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>
        <f t="shared" si="3"/>
        <v>0</v>
      </c>
    </row>
    <row r="116" spans="1:18" x14ac:dyDescent="0.25">
      <c r="A116" s="2">
        <f t="shared" si="2"/>
        <v>115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>
        <f t="shared" si="3"/>
        <v>0</v>
      </c>
    </row>
    <row r="117" spans="1:18" x14ac:dyDescent="0.25">
      <c r="A117" s="2">
        <f t="shared" si="2"/>
        <v>116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>
        <f t="shared" si="3"/>
        <v>0</v>
      </c>
    </row>
    <row r="118" spans="1:18" x14ac:dyDescent="0.25">
      <c r="A118" s="2">
        <f t="shared" si="2"/>
        <v>117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>
        <f t="shared" si="3"/>
        <v>0</v>
      </c>
    </row>
    <row r="119" spans="1:18" x14ac:dyDescent="0.25">
      <c r="A119" s="2">
        <f t="shared" si="2"/>
        <v>118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>
        <f t="shared" si="3"/>
        <v>0</v>
      </c>
    </row>
    <row r="120" spans="1:18" x14ac:dyDescent="0.25">
      <c r="A120" s="2">
        <f t="shared" si="2"/>
        <v>119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>
        <f t="shared" si="3"/>
        <v>0</v>
      </c>
    </row>
    <row r="121" spans="1:18" x14ac:dyDescent="0.25">
      <c r="A121" s="2">
        <f t="shared" si="2"/>
        <v>120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>
        <f t="shared" si="3"/>
        <v>0</v>
      </c>
    </row>
    <row r="122" spans="1:18" x14ac:dyDescent="0.25">
      <c r="A122" s="2">
        <f t="shared" si="2"/>
        <v>121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>
        <f t="shared" si="3"/>
        <v>0</v>
      </c>
    </row>
    <row r="123" spans="1:18" x14ac:dyDescent="0.25">
      <c r="A123" s="2">
        <f t="shared" si="2"/>
        <v>122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>
        <f t="shared" si="3"/>
        <v>0</v>
      </c>
    </row>
    <row r="124" spans="1:18" x14ac:dyDescent="0.25">
      <c r="A124" s="2">
        <f t="shared" si="2"/>
        <v>123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>
        <f t="shared" si="3"/>
        <v>0</v>
      </c>
    </row>
    <row r="125" spans="1:18" x14ac:dyDescent="0.25">
      <c r="A125" s="2">
        <f t="shared" si="2"/>
        <v>124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>
        <f t="shared" si="3"/>
        <v>0</v>
      </c>
    </row>
    <row r="126" spans="1:18" x14ac:dyDescent="0.25">
      <c r="A126" s="2">
        <f t="shared" si="2"/>
        <v>125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>
        <f t="shared" si="3"/>
        <v>0</v>
      </c>
    </row>
    <row r="127" spans="1:18" x14ac:dyDescent="0.25">
      <c r="A127" s="2">
        <f t="shared" si="2"/>
        <v>126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>
        <f t="shared" si="3"/>
        <v>0</v>
      </c>
    </row>
    <row r="128" spans="1:18" x14ac:dyDescent="0.25">
      <c r="A128" s="2">
        <f t="shared" si="2"/>
        <v>127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>
        <f t="shared" si="3"/>
        <v>0</v>
      </c>
    </row>
    <row r="129" spans="1:18" x14ac:dyDescent="0.25">
      <c r="A129" s="2">
        <f t="shared" si="2"/>
        <v>128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>
        <f t="shared" si="3"/>
        <v>0</v>
      </c>
    </row>
    <row r="130" spans="1:18" x14ac:dyDescent="0.25">
      <c r="A130" s="2">
        <f t="shared" ref="A130:A193" si="4">ROW(A130)-1</f>
        <v>129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>
        <f t="shared" ref="R130:R193" si="5">((F130)+(G130)+(H130)+(I130*2)+(J130)+(K130*2)+(L130)+(M130)+(N130*2)+(O130)+(P130)+(Q130))/15</f>
        <v>0</v>
      </c>
    </row>
    <row r="131" spans="1:18" x14ac:dyDescent="0.25">
      <c r="A131" s="2">
        <f t="shared" si="4"/>
        <v>130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>
        <f t="shared" si="5"/>
        <v>0</v>
      </c>
    </row>
    <row r="132" spans="1:18" x14ac:dyDescent="0.25">
      <c r="A132" s="2">
        <f t="shared" si="4"/>
        <v>131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>
        <f t="shared" si="5"/>
        <v>0</v>
      </c>
    </row>
    <row r="133" spans="1:18" x14ac:dyDescent="0.25">
      <c r="A133" s="2">
        <f t="shared" si="4"/>
        <v>132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>
        <f t="shared" si="5"/>
        <v>0</v>
      </c>
    </row>
    <row r="134" spans="1:18" x14ac:dyDescent="0.25">
      <c r="A134" s="2">
        <f t="shared" si="4"/>
        <v>133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>
        <f t="shared" si="5"/>
        <v>0</v>
      </c>
    </row>
    <row r="135" spans="1:18" x14ac:dyDescent="0.25">
      <c r="A135" s="2">
        <f t="shared" si="4"/>
        <v>134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>
        <f t="shared" si="5"/>
        <v>0</v>
      </c>
    </row>
    <row r="136" spans="1:18" x14ac:dyDescent="0.25">
      <c r="A136" s="2">
        <f t="shared" si="4"/>
        <v>135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>
        <f t="shared" si="5"/>
        <v>0</v>
      </c>
    </row>
    <row r="137" spans="1:18" x14ac:dyDescent="0.25">
      <c r="A137" s="2">
        <f t="shared" si="4"/>
        <v>136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>
        <f t="shared" si="5"/>
        <v>0</v>
      </c>
    </row>
    <row r="138" spans="1:18" x14ac:dyDescent="0.25">
      <c r="A138" s="2">
        <f t="shared" si="4"/>
        <v>137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>
        <f t="shared" si="5"/>
        <v>0</v>
      </c>
    </row>
    <row r="139" spans="1:18" x14ac:dyDescent="0.25">
      <c r="A139" s="2">
        <f t="shared" si="4"/>
        <v>138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>
        <f t="shared" si="5"/>
        <v>0</v>
      </c>
    </row>
    <row r="140" spans="1:18" x14ac:dyDescent="0.25">
      <c r="A140" s="2">
        <f t="shared" si="4"/>
        <v>139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>
        <f t="shared" si="5"/>
        <v>0</v>
      </c>
    </row>
    <row r="141" spans="1:18" x14ac:dyDescent="0.25">
      <c r="A141" s="2">
        <f t="shared" si="4"/>
        <v>140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>
        <f t="shared" si="5"/>
        <v>0</v>
      </c>
    </row>
    <row r="142" spans="1:18" x14ac:dyDescent="0.25">
      <c r="A142" s="2">
        <f t="shared" si="4"/>
        <v>141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>
        <f t="shared" si="5"/>
        <v>0</v>
      </c>
    </row>
    <row r="143" spans="1:18" x14ac:dyDescent="0.25">
      <c r="A143" s="2">
        <f t="shared" si="4"/>
        <v>142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>
        <f t="shared" si="5"/>
        <v>0</v>
      </c>
    </row>
    <row r="144" spans="1:18" x14ac:dyDescent="0.25">
      <c r="A144" s="2">
        <f t="shared" si="4"/>
        <v>143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>
        <f t="shared" si="5"/>
        <v>0</v>
      </c>
    </row>
    <row r="145" spans="1:18" x14ac:dyDescent="0.25">
      <c r="A145" s="2">
        <f t="shared" si="4"/>
        <v>144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>
        <f t="shared" si="5"/>
        <v>0</v>
      </c>
    </row>
    <row r="146" spans="1:18" x14ac:dyDescent="0.25">
      <c r="A146" s="2">
        <f t="shared" si="4"/>
        <v>145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>
        <f t="shared" si="5"/>
        <v>0</v>
      </c>
    </row>
    <row r="147" spans="1:18" x14ac:dyDescent="0.25">
      <c r="A147" s="2">
        <f t="shared" si="4"/>
        <v>146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>
        <f t="shared" si="5"/>
        <v>0</v>
      </c>
    </row>
    <row r="148" spans="1:18" x14ac:dyDescent="0.25">
      <c r="A148" s="2">
        <f t="shared" si="4"/>
        <v>147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>
        <f t="shared" si="5"/>
        <v>0</v>
      </c>
    </row>
    <row r="149" spans="1:18" x14ac:dyDescent="0.25">
      <c r="A149" s="2">
        <f t="shared" si="4"/>
        <v>148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>
        <f t="shared" si="5"/>
        <v>0</v>
      </c>
    </row>
    <row r="150" spans="1:18" x14ac:dyDescent="0.25">
      <c r="A150" s="2">
        <f t="shared" si="4"/>
        <v>149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>
        <f t="shared" si="5"/>
        <v>0</v>
      </c>
    </row>
    <row r="151" spans="1:18" x14ac:dyDescent="0.25">
      <c r="A151" s="2">
        <f t="shared" si="4"/>
        <v>150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>
        <f t="shared" si="5"/>
        <v>0</v>
      </c>
    </row>
    <row r="152" spans="1:18" x14ac:dyDescent="0.25">
      <c r="A152" s="2">
        <f t="shared" si="4"/>
        <v>151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>
        <f t="shared" si="5"/>
        <v>0</v>
      </c>
    </row>
    <row r="153" spans="1:18" x14ac:dyDescent="0.25">
      <c r="A153" s="2">
        <f t="shared" si="4"/>
        <v>152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>
        <f t="shared" si="5"/>
        <v>0</v>
      </c>
    </row>
    <row r="154" spans="1:18" x14ac:dyDescent="0.25">
      <c r="A154" s="2">
        <f t="shared" si="4"/>
        <v>153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>
        <f t="shared" si="5"/>
        <v>0</v>
      </c>
    </row>
    <row r="155" spans="1:18" x14ac:dyDescent="0.25">
      <c r="A155" s="2">
        <f t="shared" si="4"/>
        <v>154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>
        <f t="shared" si="5"/>
        <v>0</v>
      </c>
    </row>
    <row r="156" spans="1:18" x14ac:dyDescent="0.25">
      <c r="A156" s="2">
        <f t="shared" si="4"/>
        <v>155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>
        <f t="shared" si="5"/>
        <v>0</v>
      </c>
    </row>
    <row r="157" spans="1:18" x14ac:dyDescent="0.25">
      <c r="A157" s="2">
        <f t="shared" si="4"/>
        <v>156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>
        <f t="shared" si="5"/>
        <v>0</v>
      </c>
    </row>
    <row r="158" spans="1:18" x14ac:dyDescent="0.25">
      <c r="A158" s="2">
        <f t="shared" si="4"/>
        <v>157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>
        <f t="shared" si="5"/>
        <v>0</v>
      </c>
    </row>
    <row r="159" spans="1:18" x14ac:dyDescent="0.25">
      <c r="A159" s="2">
        <f t="shared" si="4"/>
        <v>158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>
        <f t="shared" si="5"/>
        <v>0</v>
      </c>
    </row>
    <row r="160" spans="1:18" x14ac:dyDescent="0.25">
      <c r="A160" s="2">
        <f t="shared" si="4"/>
        <v>159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>
        <f t="shared" si="5"/>
        <v>0</v>
      </c>
    </row>
    <row r="161" spans="1:18" x14ac:dyDescent="0.25">
      <c r="A161" s="2">
        <f t="shared" si="4"/>
        <v>160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>
        <f t="shared" si="5"/>
        <v>0</v>
      </c>
    </row>
    <row r="162" spans="1:18" x14ac:dyDescent="0.25">
      <c r="A162" s="2">
        <f t="shared" si="4"/>
        <v>161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>
        <f t="shared" si="5"/>
        <v>0</v>
      </c>
    </row>
    <row r="163" spans="1:18" x14ac:dyDescent="0.25">
      <c r="A163" s="2">
        <f t="shared" si="4"/>
        <v>162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>
        <f t="shared" si="5"/>
        <v>0</v>
      </c>
    </row>
    <row r="164" spans="1:18" x14ac:dyDescent="0.25">
      <c r="A164" s="2">
        <f t="shared" si="4"/>
        <v>163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>
        <f t="shared" si="5"/>
        <v>0</v>
      </c>
    </row>
    <row r="165" spans="1:18" x14ac:dyDescent="0.25">
      <c r="A165" s="2">
        <f t="shared" si="4"/>
        <v>164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>
        <f t="shared" si="5"/>
        <v>0</v>
      </c>
    </row>
    <row r="166" spans="1:18" x14ac:dyDescent="0.25">
      <c r="A166" s="2">
        <f t="shared" si="4"/>
        <v>165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>
        <f t="shared" si="5"/>
        <v>0</v>
      </c>
    </row>
    <row r="167" spans="1:18" x14ac:dyDescent="0.25">
      <c r="A167" s="2">
        <f t="shared" si="4"/>
        <v>166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>
        <f t="shared" si="5"/>
        <v>0</v>
      </c>
    </row>
    <row r="168" spans="1:18" x14ac:dyDescent="0.25">
      <c r="A168" s="2">
        <f t="shared" si="4"/>
        <v>167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>
        <f t="shared" si="5"/>
        <v>0</v>
      </c>
    </row>
    <row r="169" spans="1:18" x14ac:dyDescent="0.25">
      <c r="A169" s="2">
        <f t="shared" si="4"/>
        <v>168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>
        <f t="shared" si="5"/>
        <v>0</v>
      </c>
    </row>
    <row r="170" spans="1:18" x14ac:dyDescent="0.25">
      <c r="A170" s="2">
        <f t="shared" si="4"/>
        <v>169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>
        <f t="shared" si="5"/>
        <v>0</v>
      </c>
    </row>
    <row r="171" spans="1:18" x14ac:dyDescent="0.25">
      <c r="A171" s="2">
        <f t="shared" si="4"/>
        <v>170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>
        <f t="shared" si="5"/>
        <v>0</v>
      </c>
    </row>
    <row r="172" spans="1:18" x14ac:dyDescent="0.25">
      <c r="A172" s="2">
        <f t="shared" si="4"/>
        <v>171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>
        <f t="shared" si="5"/>
        <v>0</v>
      </c>
    </row>
    <row r="173" spans="1:18" x14ac:dyDescent="0.25">
      <c r="A173" s="2">
        <f t="shared" si="4"/>
        <v>172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>
        <f t="shared" si="5"/>
        <v>0</v>
      </c>
    </row>
    <row r="174" spans="1:18" x14ac:dyDescent="0.25">
      <c r="A174" s="2">
        <f t="shared" si="4"/>
        <v>173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>
        <f t="shared" si="5"/>
        <v>0</v>
      </c>
    </row>
    <row r="175" spans="1:18" x14ac:dyDescent="0.25">
      <c r="A175" s="2">
        <f t="shared" si="4"/>
        <v>174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>
        <f t="shared" si="5"/>
        <v>0</v>
      </c>
    </row>
    <row r="176" spans="1:18" x14ac:dyDescent="0.25">
      <c r="A176" s="2">
        <f t="shared" si="4"/>
        <v>175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>
        <f t="shared" si="5"/>
        <v>0</v>
      </c>
    </row>
    <row r="177" spans="1:18" x14ac:dyDescent="0.25">
      <c r="A177" s="2">
        <f t="shared" si="4"/>
        <v>176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>
        <f t="shared" si="5"/>
        <v>0</v>
      </c>
    </row>
    <row r="178" spans="1:18" x14ac:dyDescent="0.25">
      <c r="A178" s="2">
        <f t="shared" si="4"/>
        <v>177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>
        <f t="shared" si="5"/>
        <v>0</v>
      </c>
    </row>
    <row r="179" spans="1:18" x14ac:dyDescent="0.25">
      <c r="A179" s="2">
        <f t="shared" si="4"/>
        <v>178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>
        <f t="shared" si="5"/>
        <v>0</v>
      </c>
    </row>
    <row r="180" spans="1:18" x14ac:dyDescent="0.25">
      <c r="A180" s="2">
        <f t="shared" si="4"/>
        <v>179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>
        <f t="shared" si="5"/>
        <v>0</v>
      </c>
    </row>
    <row r="181" spans="1:18" x14ac:dyDescent="0.25">
      <c r="A181" s="2">
        <f t="shared" si="4"/>
        <v>180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>
        <f t="shared" si="5"/>
        <v>0</v>
      </c>
    </row>
    <row r="182" spans="1:18" x14ac:dyDescent="0.25">
      <c r="A182" s="2">
        <f t="shared" si="4"/>
        <v>181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>
        <f t="shared" si="5"/>
        <v>0</v>
      </c>
    </row>
    <row r="183" spans="1:18" x14ac:dyDescent="0.25">
      <c r="A183" s="2">
        <f t="shared" si="4"/>
        <v>182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>
        <f t="shared" si="5"/>
        <v>0</v>
      </c>
    </row>
    <row r="184" spans="1:18" x14ac:dyDescent="0.25">
      <c r="A184" s="2">
        <f t="shared" si="4"/>
        <v>183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>
        <f t="shared" si="5"/>
        <v>0</v>
      </c>
    </row>
    <row r="185" spans="1:18" x14ac:dyDescent="0.25">
      <c r="A185" s="2">
        <f t="shared" si="4"/>
        <v>184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>
        <f t="shared" si="5"/>
        <v>0</v>
      </c>
    </row>
    <row r="186" spans="1:18" x14ac:dyDescent="0.25">
      <c r="A186" s="2">
        <f t="shared" si="4"/>
        <v>185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>
        <f t="shared" si="5"/>
        <v>0</v>
      </c>
    </row>
    <row r="187" spans="1:18" x14ac:dyDescent="0.25">
      <c r="A187" s="2">
        <f t="shared" si="4"/>
        <v>186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>
        <f t="shared" si="5"/>
        <v>0</v>
      </c>
    </row>
    <row r="188" spans="1:18" x14ac:dyDescent="0.25">
      <c r="A188" s="2">
        <f t="shared" si="4"/>
        <v>187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>
        <f t="shared" si="5"/>
        <v>0</v>
      </c>
    </row>
    <row r="189" spans="1:18" x14ac:dyDescent="0.25">
      <c r="A189" s="2">
        <f t="shared" si="4"/>
        <v>188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>
        <f t="shared" si="5"/>
        <v>0</v>
      </c>
    </row>
    <row r="190" spans="1:18" x14ac:dyDescent="0.25">
      <c r="A190" s="2">
        <f t="shared" si="4"/>
        <v>189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>
        <f t="shared" si="5"/>
        <v>0</v>
      </c>
    </row>
    <row r="191" spans="1:18" x14ac:dyDescent="0.25">
      <c r="A191" s="2">
        <f t="shared" si="4"/>
        <v>190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>
        <f t="shared" si="5"/>
        <v>0</v>
      </c>
    </row>
    <row r="192" spans="1:18" x14ac:dyDescent="0.25">
      <c r="A192" s="2">
        <f t="shared" si="4"/>
        <v>191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>
        <f t="shared" si="5"/>
        <v>0</v>
      </c>
    </row>
    <row r="193" spans="1:18" x14ac:dyDescent="0.25">
      <c r="A193" s="2">
        <f t="shared" si="4"/>
        <v>192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>
        <f t="shared" si="5"/>
        <v>0</v>
      </c>
    </row>
    <row r="194" spans="1:18" x14ac:dyDescent="0.25">
      <c r="A194" s="2">
        <f t="shared" ref="A194:A257" si="6">ROW(A194)-1</f>
        <v>193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>
        <f t="shared" ref="R194:R257" si="7">((F194)+(G194)+(H194)+(I194*2)+(J194)+(K194*2)+(L194)+(M194)+(N194*2)+(O194)+(P194)+(Q194))/15</f>
        <v>0</v>
      </c>
    </row>
    <row r="195" spans="1:18" x14ac:dyDescent="0.25">
      <c r="A195" s="2">
        <f t="shared" si="6"/>
        <v>194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>
        <f t="shared" si="7"/>
        <v>0</v>
      </c>
    </row>
    <row r="196" spans="1:18" x14ac:dyDescent="0.25">
      <c r="A196" s="2">
        <f t="shared" si="6"/>
        <v>195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>
        <f t="shared" si="7"/>
        <v>0</v>
      </c>
    </row>
    <row r="197" spans="1:18" x14ac:dyDescent="0.25">
      <c r="A197" s="2">
        <f t="shared" si="6"/>
        <v>196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>
        <f t="shared" si="7"/>
        <v>0</v>
      </c>
    </row>
    <row r="198" spans="1:18" x14ac:dyDescent="0.25">
      <c r="A198" s="2">
        <f t="shared" si="6"/>
        <v>197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>
        <f t="shared" si="7"/>
        <v>0</v>
      </c>
    </row>
    <row r="199" spans="1:18" x14ac:dyDescent="0.25">
      <c r="A199" s="2">
        <f t="shared" si="6"/>
        <v>198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>
        <f t="shared" si="7"/>
        <v>0</v>
      </c>
    </row>
    <row r="200" spans="1:18" x14ac:dyDescent="0.25">
      <c r="A200" s="2">
        <f t="shared" si="6"/>
        <v>199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>
        <f t="shared" si="7"/>
        <v>0</v>
      </c>
    </row>
    <row r="201" spans="1:18" x14ac:dyDescent="0.25">
      <c r="A201" s="2">
        <f t="shared" si="6"/>
        <v>200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>
        <f t="shared" si="7"/>
        <v>0</v>
      </c>
    </row>
    <row r="202" spans="1:18" x14ac:dyDescent="0.25">
      <c r="A202" s="2">
        <f t="shared" si="6"/>
        <v>201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>
        <f t="shared" si="7"/>
        <v>0</v>
      </c>
    </row>
    <row r="203" spans="1:18" x14ac:dyDescent="0.25">
      <c r="A203" s="2">
        <f t="shared" si="6"/>
        <v>202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>
        <f t="shared" si="7"/>
        <v>0</v>
      </c>
    </row>
    <row r="204" spans="1:18" x14ac:dyDescent="0.25">
      <c r="A204" s="2">
        <f t="shared" si="6"/>
        <v>203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>
        <f t="shared" si="7"/>
        <v>0</v>
      </c>
    </row>
    <row r="205" spans="1:18" x14ac:dyDescent="0.25">
      <c r="A205" s="2">
        <f t="shared" si="6"/>
        <v>204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>
        <f t="shared" si="7"/>
        <v>0</v>
      </c>
    </row>
    <row r="206" spans="1:18" x14ac:dyDescent="0.25">
      <c r="A206" s="2">
        <f t="shared" si="6"/>
        <v>205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>
        <f t="shared" si="7"/>
        <v>0</v>
      </c>
    </row>
    <row r="207" spans="1:18" x14ac:dyDescent="0.25">
      <c r="A207" s="2">
        <f t="shared" si="6"/>
        <v>206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>
        <f t="shared" si="7"/>
        <v>0</v>
      </c>
    </row>
    <row r="208" spans="1:18" x14ac:dyDescent="0.25">
      <c r="A208" s="2">
        <f t="shared" si="6"/>
        <v>207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>
        <f t="shared" si="7"/>
        <v>0</v>
      </c>
    </row>
    <row r="209" spans="1:18" x14ac:dyDescent="0.25">
      <c r="A209" s="2">
        <f t="shared" si="6"/>
        <v>208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>
        <f t="shared" si="7"/>
        <v>0</v>
      </c>
    </row>
    <row r="210" spans="1:18" x14ac:dyDescent="0.25">
      <c r="A210" s="2">
        <f t="shared" si="6"/>
        <v>209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>
        <f t="shared" si="7"/>
        <v>0</v>
      </c>
    </row>
    <row r="211" spans="1:18" x14ac:dyDescent="0.25">
      <c r="A211" s="2">
        <f t="shared" si="6"/>
        <v>210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>
        <f t="shared" si="7"/>
        <v>0</v>
      </c>
    </row>
    <row r="212" spans="1:18" x14ac:dyDescent="0.25">
      <c r="A212" s="2">
        <f t="shared" si="6"/>
        <v>211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>
        <f t="shared" si="7"/>
        <v>0</v>
      </c>
    </row>
    <row r="213" spans="1:18" x14ac:dyDescent="0.25">
      <c r="A213" s="2">
        <f t="shared" si="6"/>
        <v>212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>
        <f t="shared" si="7"/>
        <v>0</v>
      </c>
    </row>
    <row r="214" spans="1:18" x14ac:dyDescent="0.25">
      <c r="A214" s="2">
        <f t="shared" si="6"/>
        <v>213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>
        <f t="shared" si="7"/>
        <v>0</v>
      </c>
    </row>
    <row r="215" spans="1:18" x14ac:dyDescent="0.25">
      <c r="A215" s="2">
        <f t="shared" si="6"/>
        <v>214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>
        <f t="shared" si="7"/>
        <v>0</v>
      </c>
    </row>
    <row r="216" spans="1:18" x14ac:dyDescent="0.25">
      <c r="A216" s="2">
        <f t="shared" si="6"/>
        <v>215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>
        <f t="shared" si="7"/>
        <v>0</v>
      </c>
    </row>
    <row r="217" spans="1:18" x14ac:dyDescent="0.25">
      <c r="A217" s="2">
        <f t="shared" si="6"/>
        <v>216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>
        <f t="shared" si="7"/>
        <v>0</v>
      </c>
    </row>
    <row r="218" spans="1:18" x14ac:dyDescent="0.25">
      <c r="A218" s="2">
        <f t="shared" si="6"/>
        <v>217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>
        <f t="shared" si="7"/>
        <v>0</v>
      </c>
    </row>
    <row r="219" spans="1:18" x14ac:dyDescent="0.25">
      <c r="A219" s="2">
        <f t="shared" si="6"/>
        <v>218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>
        <f t="shared" si="7"/>
        <v>0</v>
      </c>
    </row>
    <row r="220" spans="1:18" x14ac:dyDescent="0.25">
      <c r="A220" s="2">
        <f t="shared" si="6"/>
        <v>219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>
        <f t="shared" si="7"/>
        <v>0</v>
      </c>
    </row>
    <row r="221" spans="1:18" x14ac:dyDescent="0.25">
      <c r="A221" s="2">
        <f t="shared" si="6"/>
        <v>220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>
        <f t="shared" si="7"/>
        <v>0</v>
      </c>
    </row>
    <row r="222" spans="1:18" x14ac:dyDescent="0.25">
      <c r="A222" s="2">
        <f t="shared" si="6"/>
        <v>221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>
        <f t="shared" si="7"/>
        <v>0</v>
      </c>
    </row>
    <row r="223" spans="1:18" x14ac:dyDescent="0.25">
      <c r="A223" s="2">
        <f t="shared" si="6"/>
        <v>222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>
        <f t="shared" si="7"/>
        <v>0</v>
      </c>
    </row>
    <row r="224" spans="1:18" x14ac:dyDescent="0.25">
      <c r="A224" s="2">
        <f t="shared" si="6"/>
        <v>223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>
        <f t="shared" si="7"/>
        <v>0</v>
      </c>
    </row>
    <row r="225" spans="1:18" x14ac:dyDescent="0.25">
      <c r="A225" s="2">
        <f t="shared" si="6"/>
        <v>224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>
        <f t="shared" si="7"/>
        <v>0</v>
      </c>
    </row>
    <row r="226" spans="1:18" x14ac:dyDescent="0.25">
      <c r="A226" s="2">
        <f t="shared" si="6"/>
        <v>225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>
        <f t="shared" si="7"/>
        <v>0</v>
      </c>
    </row>
    <row r="227" spans="1:18" x14ac:dyDescent="0.25">
      <c r="A227" s="2">
        <f t="shared" si="6"/>
        <v>226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>
        <f t="shared" si="7"/>
        <v>0</v>
      </c>
    </row>
    <row r="228" spans="1:18" x14ac:dyDescent="0.25">
      <c r="A228" s="2">
        <f t="shared" si="6"/>
        <v>227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>
        <f t="shared" si="7"/>
        <v>0</v>
      </c>
    </row>
    <row r="229" spans="1:18" x14ac:dyDescent="0.25">
      <c r="A229" s="2">
        <f t="shared" si="6"/>
        <v>228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>
        <f t="shared" si="7"/>
        <v>0</v>
      </c>
    </row>
    <row r="230" spans="1:18" x14ac:dyDescent="0.25">
      <c r="A230" s="2">
        <f t="shared" si="6"/>
        <v>229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>
        <f t="shared" si="7"/>
        <v>0</v>
      </c>
    </row>
    <row r="231" spans="1:18" x14ac:dyDescent="0.25">
      <c r="A231" s="2">
        <f t="shared" si="6"/>
        <v>230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>
        <f t="shared" si="7"/>
        <v>0</v>
      </c>
    </row>
    <row r="232" spans="1:18" x14ac:dyDescent="0.25">
      <c r="A232" s="2">
        <f t="shared" si="6"/>
        <v>231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>
        <f t="shared" si="7"/>
        <v>0</v>
      </c>
    </row>
    <row r="233" spans="1:18" x14ac:dyDescent="0.25">
      <c r="A233" s="2">
        <f t="shared" si="6"/>
        <v>232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>
        <f t="shared" si="7"/>
        <v>0</v>
      </c>
    </row>
    <row r="234" spans="1:18" x14ac:dyDescent="0.25">
      <c r="A234" s="2">
        <f t="shared" si="6"/>
        <v>233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>
        <f t="shared" si="7"/>
        <v>0</v>
      </c>
    </row>
    <row r="235" spans="1:18" x14ac:dyDescent="0.25">
      <c r="A235" s="2">
        <f t="shared" si="6"/>
        <v>234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>
        <f t="shared" si="7"/>
        <v>0</v>
      </c>
    </row>
    <row r="236" spans="1:18" x14ac:dyDescent="0.25">
      <c r="A236" s="2">
        <f t="shared" si="6"/>
        <v>235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>
        <f t="shared" si="7"/>
        <v>0</v>
      </c>
    </row>
    <row r="237" spans="1:18" x14ac:dyDescent="0.25">
      <c r="A237" s="2">
        <f t="shared" si="6"/>
        <v>236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>
        <f t="shared" si="7"/>
        <v>0</v>
      </c>
    </row>
    <row r="238" spans="1:18" x14ac:dyDescent="0.25">
      <c r="A238" s="2">
        <f t="shared" si="6"/>
        <v>237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>
        <f t="shared" si="7"/>
        <v>0</v>
      </c>
    </row>
    <row r="239" spans="1:18" x14ac:dyDescent="0.25">
      <c r="A239" s="2">
        <f t="shared" si="6"/>
        <v>238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>
        <f t="shared" si="7"/>
        <v>0</v>
      </c>
    </row>
    <row r="240" spans="1:18" x14ac:dyDescent="0.25">
      <c r="A240" s="2">
        <f t="shared" si="6"/>
        <v>239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>
        <f t="shared" si="7"/>
        <v>0</v>
      </c>
    </row>
    <row r="241" spans="1:18" x14ac:dyDescent="0.25">
      <c r="A241" s="2">
        <f t="shared" si="6"/>
        <v>240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>
        <f t="shared" si="7"/>
        <v>0</v>
      </c>
    </row>
    <row r="242" spans="1:18" x14ac:dyDescent="0.25">
      <c r="A242" s="2">
        <f t="shared" si="6"/>
        <v>241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>
        <f t="shared" si="7"/>
        <v>0</v>
      </c>
    </row>
    <row r="243" spans="1:18" x14ac:dyDescent="0.25">
      <c r="A243" s="2">
        <f t="shared" si="6"/>
        <v>242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>
        <f t="shared" si="7"/>
        <v>0</v>
      </c>
    </row>
    <row r="244" spans="1:18" x14ac:dyDescent="0.25">
      <c r="A244" s="2">
        <f t="shared" si="6"/>
        <v>243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>
        <f t="shared" si="7"/>
        <v>0</v>
      </c>
    </row>
    <row r="245" spans="1:18" x14ac:dyDescent="0.25">
      <c r="A245" s="2">
        <f t="shared" si="6"/>
        <v>244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>
        <f t="shared" si="7"/>
        <v>0</v>
      </c>
    </row>
    <row r="246" spans="1:18" x14ac:dyDescent="0.25">
      <c r="A246" s="2">
        <f t="shared" si="6"/>
        <v>245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>
        <f t="shared" si="7"/>
        <v>0</v>
      </c>
    </row>
    <row r="247" spans="1:18" x14ac:dyDescent="0.25">
      <c r="A247" s="2">
        <f t="shared" si="6"/>
        <v>246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>
        <f t="shared" si="7"/>
        <v>0</v>
      </c>
    </row>
    <row r="248" spans="1:18" x14ac:dyDescent="0.25">
      <c r="A248" s="2">
        <f t="shared" si="6"/>
        <v>247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>
        <f t="shared" si="7"/>
        <v>0</v>
      </c>
    </row>
    <row r="249" spans="1:18" x14ac:dyDescent="0.25">
      <c r="A249" s="2">
        <f t="shared" si="6"/>
        <v>248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>
        <f t="shared" si="7"/>
        <v>0</v>
      </c>
    </row>
    <row r="250" spans="1:18" x14ac:dyDescent="0.25">
      <c r="A250" s="2">
        <f t="shared" si="6"/>
        <v>249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>
        <f t="shared" si="7"/>
        <v>0</v>
      </c>
    </row>
    <row r="251" spans="1:18" x14ac:dyDescent="0.25">
      <c r="A251" s="2">
        <f t="shared" si="6"/>
        <v>250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>
        <f t="shared" si="7"/>
        <v>0</v>
      </c>
    </row>
    <row r="252" spans="1:18" x14ac:dyDescent="0.25">
      <c r="A252" s="2">
        <f t="shared" si="6"/>
        <v>251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>
        <f t="shared" si="7"/>
        <v>0</v>
      </c>
    </row>
    <row r="253" spans="1:18" x14ac:dyDescent="0.25">
      <c r="A253" s="2">
        <f t="shared" si="6"/>
        <v>252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>
        <f t="shared" si="7"/>
        <v>0</v>
      </c>
    </row>
    <row r="254" spans="1:18" x14ac:dyDescent="0.25">
      <c r="A254" s="2">
        <f t="shared" si="6"/>
        <v>253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>
        <f t="shared" si="7"/>
        <v>0</v>
      </c>
    </row>
    <row r="255" spans="1:18" x14ac:dyDescent="0.25">
      <c r="A255" s="2">
        <f t="shared" si="6"/>
        <v>254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>
        <f t="shared" si="7"/>
        <v>0</v>
      </c>
    </row>
    <row r="256" spans="1:18" x14ac:dyDescent="0.25">
      <c r="A256" s="2">
        <f t="shared" si="6"/>
        <v>255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>
        <f t="shared" si="7"/>
        <v>0</v>
      </c>
    </row>
    <row r="257" spans="1:18" x14ac:dyDescent="0.25">
      <c r="A257" s="2">
        <f t="shared" si="6"/>
        <v>256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>
        <f t="shared" si="7"/>
        <v>0</v>
      </c>
    </row>
    <row r="258" spans="1:18" x14ac:dyDescent="0.25">
      <c r="A258" s="2">
        <f t="shared" ref="A258:A321" si="8">ROW(A258)-1</f>
        <v>257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>
        <f t="shared" ref="R258:R321" si="9">((F258)+(G258)+(H258)+(I258*2)+(J258)+(K258*2)+(L258)+(M258)+(N258*2)+(O258)+(P258)+(Q258))/15</f>
        <v>0</v>
      </c>
    </row>
    <row r="259" spans="1:18" x14ac:dyDescent="0.25">
      <c r="A259" s="2">
        <f t="shared" si="8"/>
        <v>258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>
        <f t="shared" si="9"/>
        <v>0</v>
      </c>
    </row>
    <row r="260" spans="1:18" x14ac:dyDescent="0.25">
      <c r="A260" s="2">
        <f t="shared" si="8"/>
        <v>259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>
        <f t="shared" si="9"/>
        <v>0</v>
      </c>
    </row>
    <row r="261" spans="1:18" x14ac:dyDescent="0.25">
      <c r="A261" s="2">
        <f t="shared" si="8"/>
        <v>260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>
        <f t="shared" si="9"/>
        <v>0</v>
      </c>
    </row>
    <row r="262" spans="1:18" x14ac:dyDescent="0.25">
      <c r="A262" s="2">
        <f t="shared" si="8"/>
        <v>261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>
        <f t="shared" si="9"/>
        <v>0</v>
      </c>
    </row>
    <row r="263" spans="1:18" x14ac:dyDescent="0.25">
      <c r="A263" s="2">
        <f t="shared" si="8"/>
        <v>262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>
        <f t="shared" si="9"/>
        <v>0</v>
      </c>
    </row>
    <row r="264" spans="1:18" x14ac:dyDescent="0.25">
      <c r="A264" s="2">
        <f t="shared" si="8"/>
        <v>263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>
        <f t="shared" si="9"/>
        <v>0</v>
      </c>
    </row>
    <row r="265" spans="1:18" x14ac:dyDescent="0.25">
      <c r="A265" s="2">
        <f t="shared" si="8"/>
        <v>264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>
        <f t="shared" si="9"/>
        <v>0</v>
      </c>
    </row>
    <row r="266" spans="1:18" x14ac:dyDescent="0.25">
      <c r="A266" s="2">
        <f t="shared" si="8"/>
        <v>265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>
        <f t="shared" si="9"/>
        <v>0</v>
      </c>
    </row>
    <row r="267" spans="1:18" x14ac:dyDescent="0.25">
      <c r="A267" s="2">
        <f t="shared" si="8"/>
        <v>266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>
        <f t="shared" si="9"/>
        <v>0</v>
      </c>
    </row>
    <row r="268" spans="1:18" x14ac:dyDescent="0.25">
      <c r="A268" s="2">
        <f t="shared" si="8"/>
        <v>267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>
        <f t="shared" si="9"/>
        <v>0</v>
      </c>
    </row>
    <row r="269" spans="1:18" x14ac:dyDescent="0.25">
      <c r="A269" s="2">
        <f t="shared" si="8"/>
        <v>268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>
        <f t="shared" si="9"/>
        <v>0</v>
      </c>
    </row>
    <row r="270" spans="1:18" x14ac:dyDescent="0.25">
      <c r="A270" s="2">
        <f t="shared" si="8"/>
        <v>269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>
        <f t="shared" si="9"/>
        <v>0</v>
      </c>
    </row>
    <row r="271" spans="1:18" x14ac:dyDescent="0.25">
      <c r="A271" s="2">
        <f t="shared" si="8"/>
        <v>270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>
        <f t="shared" si="9"/>
        <v>0</v>
      </c>
    </row>
    <row r="272" spans="1:18" x14ac:dyDescent="0.25">
      <c r="A272" s="2">
        <f t="shared" si="8"/>
        <v>271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>
        <f t="shared" si="9"/>
        <v>0</v>
      </c>
    </row>
    <row r="273" spans="1:18" x14ac:dyDescent="0.25">
      <c r="A273" s="2">
        <f t="shared" si="8"/>
        <v>272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>
        <f t="shared" si="9"/>
        <v>0</v>
      </c>
    </row>
    <row r="274" spans="1:18" x14ac:dyDescent="0.25">
      <c r="A274" s="2">
        <f t="shared" si="8"/>
        <v>273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>
        <f t="shared" si="9"/>
        <v>0</v>
      </c>
    </row>
    <row r="275" spans="1:18" x14ac:dyDescent="0.25">
      <c r="A275" s="2">
        <f t="shared" si="8"/>
        <v>274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>
        <f t="shared" si="9"/>
        <v>0</v>
      </c>
    </row>
    <row r="276" spans="1:18" x14ac:dyDescent="0.25">
      <c r="A276" s="2">
        <f t="shared" si="8"/>
        <v>275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>
        <f t="shared" si="9"/>
        <v>0</v>
      </c>
    </row>
    <row r="277" spans="1:18" x14ac:dyDescent="0.25">
      <c r="A277" s="2">
        <f t="shared" si="8"/>
        <v>276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>
        <f t="shared" si="9"/>
        <v>0</v>
      </c>
    </row>
    <row r="278" spans="1:18" x14ac:dyDescent="0.25">
      <c r="A278" s="2">
        <f t="shared" si="8"/>
        <v>277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>
        <f t="shared" si="9"/>
        <v>0</v>
      </c>
    </row>
    <row r="279" spans="1:18" x14ac:dyDescent="0.25">
      <c r="A279" s="2">
        <f t="shared" si="8"/>
        <v>278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>
        <f t="shared" si="9"/>
        <v>0</v>
      </c>
    </row>
    <row r="280" spans="1:18" x14ac:dyDescent="0.25">
      <c r="A280" s="2">
        <f t="shared" si="8"/>
        <v>279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>
        <f t="shared" si="9"/>
        <v>0</v>
      </c>
    </row>
    <row r="281" spans="1:18" x14ac:dyDescent="0.25">
      <c r="A281" s="2">
        <f t="shared" si="8"/>
        <v>280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>
        <f t="shared" si="9"/>
        <v>0</v>
      </c>
    </row>
    <row r="282" spans="1:18" x14ac:dyDescent="0.25">
      <c r="A282" s="2">
        <f t="shared" si="8"/>
        <v>281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>
        <f t="shared" si="9"/>
        <v>0</v>
      </c>
    </row>
    <row r="283" spans="1:18" x14ac:dyDescent="0.25">
      <c r="A283" s="2">
        <f t="shared" si="8"/>
        <v>282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>
        <f t="shared" si="9"/>
        <v>0</v>
      </c>
    </row>
    <row r="284" spans="1:18" x14ac:dyDescent="0.25">
      <c r="A284" s="2">
        <f t="shared" si="8"/>
        <v>283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>
        <f t="shared" si="9"/>
        <v>0</v>
      </c>
    </row>
    <row r="285" spans="1:18" x14ac:dyDescent="0.25">
      <c r="A285" s="2">
        <f t="shared" si="8"/>
        <v>284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>
        <f t="shared" si="9"/>
        <v>0</v>
      </c>
    </row>
    <row r="286" spans="1:18" x14ac:dyDescent="0.25">
      <c r="A286" s="2">
        <f t="shared" si="8"/>
        <v>285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>
        <f t="shared" si="9"/>
        <v>0</v>
      </c>
    </row>
    <row r="287" spans="1:18" x14ac:dyDescent="0.25">
      <c r="A287" s="2">
        <f t="shared" si="8"/>
        <v>286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>
        <f t="shared" si="9"/>
        <v>0</v>
      </c>
    </row>
    <row r="288" spans="1:18" x14ac:dyDescent="0.25">
      <c r="A288" s="2">
        <f t="shared" si="8"/>
        <v>287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>
        <f t="shared" si="9"/>
        <v>0</v>
      </c>
    </row>
    <row r="289" spans="1:18" x14ac:dyDescent="0.25">
      <c r="A289" s="2">
        <f t="shared" si="8"/>
        <v>288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>
        <f t="shared" si="9"/>
        <v>0</v>
      </c>
    </row>
    <row r="290" spans="1:18" x14ac:dyDescent="0.25">
      <c r="A290" s="2">
        <f t="shared" si="8"/>
        <v>289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>
        <f t="shared" si="9"/>
        <v>0</v>
      </c>
    </row>
    <row r="291" spans="1:18" x14ac:dyDescent="0.25">
      <c r="A291" s="2">
        <f t="shared" si="8"/>
        <v>290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>
        <f t="shared" si="9"/>
        <v>0</v>
      </c>
    </row>
    <row r="292" spans="1:18" x14ac:dyDescent="0.25">
      <c r="A292" s="2">
        <f t="shared" si="8"/>
        <v>291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>
        <f t="shared" si="9"/>
        <v>0</v>
      </c>
    </row>
    <row r="293" spans="1:18" x14ac:dyDescent="0.25">
      <c r="A293" s="2">
        <f t="shared" si="8"/>
        <v>292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>
        <f t="shared" si="9"/>
        <v>0</v>
      </c>
    </row>
    <row r="294" spans="1:18" x14ac:dyDescent="0.25">
      <c r="A294" s="2">
        <f t="shared" si="8"/>
        <v>293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>
        <f t="shared" si="9"/>
        <v>0</v>
      </c>
    </row>
    <row r="295" spans="1:18" x14ac:dyDescent="0.25">
      <c r="A295" s="2">
        <f t="shared" si="8"/>
        <v>294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>
        <f t="shared" si="9"/>
        <v>0</v>
      </c>
    </row>
    <row r="296" spans="1:18" x14ac:dyDescent="0.25">
      <c r="A296" s="2">
        <f t="shared" si="8"/>
        <v>295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>
        <f t="shared" si="9"/>
        <v>0</v>
      </c>
    </row>
    <row r="297" spans="1:18" x14ac:dyDescent="0.25">
      <c r="A297" s="2">
        <f t="shared" si="8"/>
        <v>296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>
        <f t="shared" si="9"/>
        <v>0</v>
      </c>
    </row>
    <row r="298" spans="1:18" x14ac:dyDescent="0.25">
      <c r="A298" s="2">
        <f t="shared" si="8"/>
        <v>297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>
        <f t="shared" si="9"/>
        <v>0</v>
      </c>
    </row>
    <row r="299" spans="1:18" x14ac:dyDescent="0.25">
      <c r="A299" s="2">
        <f t="shared" si="8"/>
        <v>298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>
        <f t="shared" si="9"/>
        <v>0</v>
      </c>
    </row>
    <row r="300" spans="1:18" x14ac:dyDescent="0.25">
      <c r="A300" s="2">
        <f t="shared" si="8"/>
        <v>299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>
        <f t="shared" si="9"/>
        <v>0</v>
      </c>
    </row>
    <row r="301" spans="1:18" x14ac:dyDescent="0.25">
      <c r="A301" s="2">
        <f t="shared" si="8"/>
        <v>300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>
        <f t="shared" si="9"/>
        <v>0</v>
      </c>
    </row>
    <row r="302" spans="1:18" x14ac:dyDescent="0.25">
      <c r="A302" s="2">
        <f t="shared" si="8"/>
        <v>301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>
        <f t="shared" si="9"/>
        <v>0</v>
      </c>
    </row>
    <row r="303" spans="1:18" x14ac:dyDescent="0.25">
      <c r="A303" s="2">
        <f t="shared" si="8"/>
        <v>302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>
        <f t="shared" si="9"/>
        <v>0</v>
      </c>
    </row>
    <row r="304" spans="1:18" x14ac:dyDescent="0.25">
      <c r="A304" s="2">
        <f t="shared" si="8"/>
        <v>303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>
        <f t="shared" si="9"/>
        <v>0</v>
      </c>
    </row>
    <row r="305" spans="1:18" x14ac:dyDescent="0.25">
      <c r="A305" s="2">
        <f t="shared" si="8"/>
        <v>304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>
        <f t="shared" si="9"/>
        <v>0</v>
      </c>
    </row>
    <row r="306" spans="1:18" x14ac:dyDescent="0.25">
      <c r="A306" s="2">
        <f t="shared" si="8"/>
        <v>305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>
        <f t="shared" si="9"/>
        <v>0</v>
      </c>
    </row>
    <row r="307" spans="1:18" x14ac:dyDescent="0.25">
      <c r="A307" s="2">
        <f t="shared" si="8"/>
        <v>306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>
        <f t="shared" si="9"/>
        <v>0</v>
      </c>
    </row>
    <row r="308" spans="1:18" x14ac:dyDescent="0.25">
      <c r="A308" s="2">
        <f t="shared" si="8"/>
        <v>307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>
        <f t="shared" si="9"/>
        <v>0</v>
      </c>
    </row>
    <row r="309" spans="1:18" x14ac:dyDescent="0.25">
      <c r="A309" s="2">
        <f t="shared" si="8"/>
        <v>308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>
        <f t="shared" si="9"/>
        <v>0</v>
      </c>
    </row>
    <row r="310" spans="1:18" x14ac:dyDescent="0.25">
      <c r="A310" s="2">
        <f t="shared" si="8"/>
        <v>309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>
        <f t="shared" si="9"/>
        <v>0</v>
      </c>
    </row>
    <row r="311" spans="1:18" x14ac:dyDescent="0.25">
      <c r="A311" s="2">
        <f t="shared" si="8"/>
        <v>310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>
        <f t="shared" si="9"/>
        <v>0</v>
      </c>
    </row>
    <row r="312" spans="1:18" x14ac:dyDescent="0.25">
      <c r="A312" s="2">
        <f t="shared" si="8"/>
        <v>311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>
        <f t="shared" si="9"/>
        <v>0</v>
      </c>
    </row>
    <row r="313" spans="1:18" x14ac:dyDescent="0.25">
      <c r="A313" s="2">
        <f t="shared" si="8"/>
        <v>312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>
        <f t="shared" si="9"/>
        <v>0</v>
      </c>
    </row>
    <row r="314" spans="1:18" x14ac:dyDescent="0.25">
      <c r="A314" s="2">
        <f t="shared" si="8"/>
        <v>313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>
        <f t="shared" si="9"/>
        <v>0</v>
      </c>
    </row>
    <row r="315" spans="1:18" x14ac:dyDescent="0.25">
      <c r="A315" s="2">
        <f t="shared" si="8"/>
        <v>314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>
        <f t="shared" si="9"/>
        <v>0</v>
      </c>
    </row>
    <row r="316" spans="1:18" x14ac:dyDescent="0.25">
      <c r="A316" s="2">
        <f t="shared" si="8"/>
        <v>315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>
        <f t="shared" si="9"/>
        <v>0</v>
      </c>
    </row>
    <row r="317" spans="1:18" x14ac:dyDescent="0.25">
      <c r="A317" s="2">
        <f t="shared" si="8"/>
        <v>316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>
        <f t="shared" si="9"/>
        <v>0</v>
      </c>
    </row>
    <row r="318" spans="1:18" x14ac:dyDescent="0.25">
      <c r="A318" s="2">
        <f t="shared" si="8"/>
        <v>317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>
        <f t="shared" si="9"/>
        <v>0</v>
      </c>
    </row>
    <row r="319" spans="1:18" x14ac:dyDescent="0.25">
      <c r="A319" s="2">
        <f t="shared" si="8"/>
        <v>318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>
        <f t="shared" si="9"/>
        <v>0</v>
      </c>
    </row>
    <row r="320" spans="1:18" x14ac:dyDescent="0.25">
      <c r="A320" s="2">
        <f t="shared" si="8"/>
        <v>319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>
        <f t="shared" si="9"/>
        <v>0</v>
      </c>
    </row>
    <row r="321" spans="1:18" x14ac:dyDescent="0.25">
      <c r="A321" s="2">
        <f t="shared" si="8"/>
        <v>320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>
        <f t="shared" si="9"/>
        <v>0</v>
      </c>
    </row>
    <row r="322" spans="1:18" x14ac:dyDescent="0.25">
      <c r="A322" s="2">
        <f t="shared" ref="A322:A385" si="10">ROW(A322)-1</f>
        <v>321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>
        <f t="shared" ref="R322:R385" si="11">((F322)+(G322)+(H322)+(I322*2)+(J322)+(K322*2)+(L322)+(M322)+(N322*2)+(O322)+(P322)+(Q322))/15</f>
        <v>0</v>
      </c>
    </row>
    <row r="323" spans="1:18" x14ac:dyDescent="0.25">
      <c r="A323" s="2">
        <f t="shared" si="10"/>
        <v>322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>
        <f t="shared" si="11"/>
        <v>0</v>
      </c>
    </row>
    <row r="324" spans="1:18" x14ac:dyDescent="0.25">
      <c r="A324" s="2">
        <f t="shared" si="10"/>
        <v>323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>
        <f t="shared" si="11"/>
        <v>0</v>
      </c>
    </row>
    <row r="325" spans="1:18" x14ac:dyDescent="0.25">
      <c r="A325" s="2">
        <f t="shared" si="10"/>
        <v>324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>
        <f t="shared" si="11"/>
        <v>0</v>
      </c>
    </row>
    <row r="326" spans="1:18" x14ac:dyDescent="0.25">
      <c r="A326" s="2">
        <f t="shared" si="10"/>
        <v>325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>
        <f t="shared" si="11"/>
        <v>0</v>
      </c>
    </row>
    <row r="327" spans="1:18" x14ac:dyDescent="0.25">
      <c r="A327" s="2">
        <f t="shared" si="10"/>
        <v>326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>
        <f t="shared" si="11"/>
        <v>0</v>
      </c>
    </row>
    <row r="328" spans="1:18" x14ac:dyDescent="0.25">
      <c r="A328" s="2">
        <f t="shared" si="10"/>
        <v>327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>
        <f t="shared" si="11"/>
        <v>0</v>
      </c>
    </row>
    <row r="329" spans="1:18" x14ac:dyDescent="0.25">
      <c r="A329" s="2">
        <f t="shared" si="10"/>
        <v>328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>
        <f t="shared" si="11"/>
        <v>0</v>
      </c>
    </row>
    <row r="330" spans="1:18" x14ac:dyDescent="0.25">
      <c r="A330" s="2">
        <f t="shared" si="10"/>
        <v>329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>
        <f t="shared" si="11"/>
        <v>0</v>
      </c>
    </row>
    <row r="331" spans="1:18" x14ac:dyDescent="0.25">
      <c r="A331" s="2">
        <f t="shared" si="10"/>
        <v>330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>
        <f t="shared" si="11"/>
        <v>0</v>
      </c>
    </row>
    <row r="332" spans="1:18" x14ac:dyDescent="0.25">
      <c r="A332" s="2">
        <f t="shared" si="10"/>
        <v>331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>
        <f t="shared" si="11"/>
        <v>0</v>
      </c>
    </row>
    <row r="333" spans="1:18" x14ac:dyDescent="0.25">
      <c r="A333" s="2">
        <f t="shared" si="10"/>
        <v>332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>
        <f t="shared" si="11"/>
        <v>0</v>
      </c>
    </row>
    <row r="334" spans="1:18" x14ac:dyDescent="0.25">
      <c r="A334" s="2">
        <f t="shared" si="10"/>
        <v>333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>
        <f t="shared" si="11"/>
        <v>0</v>
      </c>
    </row>
    <row r="335" spans="1:18" x14ac:dyDescent="0.25">
      <c r="A335" s="2">
        <f t="shared" si="10"/>
        <v>334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>
        <f t="shared" si="11"/>
        <v>0</v>
      </c>
    </row>
    <row r="336" spans="1:18" x14ac:dyDescent="0.25">
      <c r="A336" s="2">
        <f t="shared" si="10"/>
        <v>335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>
        <f t="shared" si="11"/>
        <v>0</v>
      </c>
    </row>
    <row r="337" spans="1:18" x14ac:dyDescent="0.25">
      <c r="A337" s="2">
        <f t="shared" si="10"/>
        <v>336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>
        <f t="shared" si="11"/>
        <v>0</v>
      </c>
    </row>
    <row r="338" spans="1:18" x14ac:dyDescent="0.25">
      <c r="A338" s="2">
        <f t="shared" si="10"/>
        <v>337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>
        <f t="shared" si="11"/>
        <v>0</v>
      </c>
    </row>
    <row r="339" spans="1:18" x14ac:dyDescent="0.25">
      <c r="A339" s="2">
        <f t="shared" si="10"/>
        <v>338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>
        <f t="shared" si="11"/>
        <v>0</v>
      </c>
    </row>
    <row r="340" spans="1:18" x14ac:dyDescent="0.25">
      <c r="A340" s="2">
        <f t="shared" si="10"/>
        <v>339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>
        <f t="shared" si="11"/>
        <v>0</v>
      </c>
    </row>
    <row r="341" spans="1:18" x14ac:dyDescent="0.25">
      <c r="A341" s="2">
        <f t="shared" si="10"/>
        <v>340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>
        <f t="shared" si="11"/>
        <v>0</v>
      </c>
    </row>
    <row r="342" spans="1:18" x14ac:dyDescent="0.25">
      <c r="A342" s="2">
        <f t="shared" si="10"/>
        <v>341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>
        <f t="shared" si="11"/>
        <v>0</v>
      </c>
    </row>
    <row r="343" spans="1:18" x14ac:dyDescent="0.25">
      <c r="A343" s="2">
        <f t="shared" si="10"/>
        <v>342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>
        <f t="shared" si="11"/>
        <v>0</v>
      </c>
    </row>
    <row r="344" spans="1:18" x14ac:dyDescent="0.25">
      <c r="A344" s="2">
        <f t="shared" si="10"/>
        <v>343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>
        <f t="shared" si="11"/>
        <v>0</v>
      </c>
    </row>
    <row r="345" spans="1:18" x14ac:dyDescent="0.25">
      <c r="A345" s="2">
        <f t="shared" si="10"/>
        <v>344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>
        <f t="shared" si="11"/>
        <v>0</v>
      </c>
    </row>
    <row r="346" spans="1:18" x14ac:dyDescent="0.25">
      <c r="A346" s="2">
        <f t="shared" si="10"/>
        <v>345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>
        <f t="shared" si="11"/>
        <v>0</v>
      </c>
    </row>
    <row r="347" spans="1:18" x14ac:dyDescent="0.25">
      <c r="A347" s="2">
        <f t="shared" si="10"/>
        <v>346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>
        <f t="shared" si="11"/>
        <v>0</v>
      </c>
    </row>
    <row r="348" spans="1:18" x14ac:dyDescent="0.25">
      <c r="A348" s="2">
        <f t="shared" si="10"/>
        <v>347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>
        <f t="shared" si="11"/>
        <v>0</v>
      </c>
    </row>
    <row r="349" spans="1:18" x14ac:dyDescent="0.25">
      <c r="A349" s="2">
        <f t="shared" si="10"/>
        <v>348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>
        <f t="shared" si="11"/>
        <v>0</v>
      </c>
    </row>
    <row r="350" spans="1:18" x14ac:dyDescent="0.25">
      <c r="A350" s="2">
        <f t="shared" si="10"/>
        <v>349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>
        <f t="shared" si="11"/>
        <v>0</v>
      </c>
    </row>
    <row r="351" spans="1:18" x14ac:dyDescent="0.25">
      <c r="A351" s="2">
        <f t="shared" si="10"/>
        <v>350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>
        <f t="shared" si="11"/>
        <v>0</v>
      </c>
    </row>
    <row r="352" spans="1:18" x14ac:dyDescent="0.25">
      <c r="A352" s="2">
        <f t="shared" si="10"/>
        <v>351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>
        <f t="shared" si="11"/>
        <v>0</v>
      </c>
    </row>
    <row r="353" spans="1:18" x14ac:dyDescent="0.25">
      <c r="A353" s="2">
        <f t="shared" si="10"/>
        <v>352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>
        <f t="shared" si="11"/>
        <v>0</v>
      </c>
    </row>
    <row r="354" spans="1:18" x14ac:dyDescent="0.25">
      <c r="A354" s="2">
        <f t="shared" si="10"/>
        <v>353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>
        <f t="shared" si="11"/>
        <v>0</v>
      </c>
    </row>
    <row r="355" spans="1:18" x14ac:dyDescent="0.25">
      <c r="A355" s="2">
        <f t="shared" si="10"/>
        <v>354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>
        <f t="shared" si="11"/>
        <v>0</v>
      </c>
    </row>
    <row r="356" spans="1:18" x14ac:dyDescent="0.25">
      <c r="A356" s="2">
        <f t="shared" si="10"/>
        <v>355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>
        <f t="shared" si="11"/>
        <v>0</v>
      </c>
    </row>
    <row r="357" spans="1:18" x14ac:dyDescent="0.25">
      <c r="A357" s="2">
        <f t="shared" si="10"/>
        <v>356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>
        <f t="shared" si="11"/>
        <v>0</v>
      </c>
    </row>
    <row r="358" spans="1:18" x14ac:dyDescent="0.25">
      <c r="A358" s="2">
        <f t="shared" si="10"/>
        <v>357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>
        <f t="shared" si="11"/>
        <v>0</v>
      </c>
    </row>
    <row r="359" spans="1:18" x14ac:dyDescent="0.25">
      <c r="A359" s="2">
        <f t="shared" si="10"/>
        <v>358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>
        <f t="shared" si="11"/>
        <v>0</v>
      </c>
    </row>
    <row r="360" spans="1:18" x14ac:dyDescent="0.25">
      <c r="A360" s="2">
        <f t="shared" si="10"/>
        <v>359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>
        <f t="shared" si="11"/>
        <v>0</v>
      </c>
    </row>
    <row r="361" spans="1:18" x14ac:dyDescent="0.25">
      <c r="A361" s="2">
        <f t="shared" si="10"/>
        <v>360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>
        <f t="shared" si="11"/>
        <v>0</v>
      </c>
    </row>
    <row r="362" spans="1:18" x14ac:dyDescent="0.25">
      <c r="A362" s="2">
        <f t="shared" si="10"/>
        <v>361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>
        <f t="shared" si="11"/>
        <v>0</v>
      </c>
    </row>
    <row r="363" spans="1:18" x14ac:dyDescent="0.25">
      <c r="A363" s="2">
        <f t="shared" si="10"/>
        <v>362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>
        <f t="shared" si="11"/>
        <v>0</v>
      </c>
    </row>
    <row r="364" spans="1:18" x14ac:dyDescent="0.25">
      <c r="A364" s="2">
        <f t="shared" si="10"/>
        <v>363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>
        <f t="shared" si="11"/>
        <v>0</v>
      </c>
    </row>
    <row r="365" spans="1:18" x14ac:dyDescent="0.25">
      <c r="A365" s="2">
        <f t="shared" si="10"/>
        <v>364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>
        <f t="shared" si="11"/>
        <v>0</v>
      </c>
    </row>
    <row r="366" spans="1:18" x14ac:dyDescent="0.25">
      <c r="A366" s="2">
        <f t="shared" si="10"/>
        <v>365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>
        <f t="shared" si="11"/>
        <v>0</v>
      </c>
    </row>
    <row r="367" spans="1:18" x14ac:dyDescent="0.25">
      <c r="A367" s="2">
        <f t="shared" si="10"/>
        <v>366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>
        <f t="shared" si="11"/>
        <v>0</v>
      </c>
    </row>
    <row r="368" spans="1:18" x14ac:dyDescent="0.25">
      <c r="A368" s="2">
        <f t="shared" si="10"/>
        <v>367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>
        <f t="shared" si="11"/>
        <v>0</v>
      </c>
    </row>
    <row r="369" spans="1:18" x14ac:dyDescent="0.25">
      <c r="A369" s="2">
        <f t="shared" si="10"/>
        <v>368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>
        <f t="shared" si="11"/>
        <v>0</v>
      </c>
    </row>
    <row r="370" spans="1:18" x14ac:dyDescent="0.25">
      <c r="A370" s="2">
        <f t="shared" si="10"/>
        <v>369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>
        <f t="shared" si="11"/>
        <v>0</v>
      </c>
    </row>
    <row r="371" spans="1:18" x14ac:dyDescent="0.25">
      <c r="A371" s="2">
        <f t="shared" si="10"/>
        <v>370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>
        <f t="shared" si="11"/>
        <v>0</v>
      </c>
    </row>
    <row r="372" spans="1:18" x14ac:dyDescent="0.25">
      <c r="A372" s="2">
        <f t="shared" si="10"/>
        <v>371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>
        <f t="shared" si="11"/>
        <v>0</v>
      </c>
    </row>
    <row r="373" spans="1:18" x14ac:dyDescent="0.25">
      <c r="A373" s="2">
        <f t="shared" si="10"/>
        <v>372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>
        <f t="shared" si="11"/>
        <v>0</v>
      </c>
    </row>
    <row r="374" spans="1:18" x14ac:dyDescent="0.25">
      <c r="A374" s="2">
        <f t="shared" si="10"/>
        <v>373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>
        <f t="shared" si="11"/>
        <v>0</v>
      </c>
    </row>
    <row r="375" spans="1:18" x14ac:dyDescent="0.25">
      <c r="A375" s="2">
        <f t="shared" si="10"/>
        <v>374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>
        <f t="shared" si="11"/>
        <v>0</v>
      </c>
    </row>
    <row r="376" spans="1:18" x14ac:dyDescent="0.25">
      <c r="A376" s="2">
        <f t="shared" si="10"/>
        <v>375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>
        <f t="shared" si="11"/>
        <v>0</v>
      </c>
    </row>
    <row r="377" spans="1:18" x14ac:dyDescent="0.25">
      <c r="A377" s="2">
        <f t="shared" si="10"/>
        <v>376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>
        <f t="shared" si="11"/>
        <v>0</v>
      </c>
    </row>
    <row r="378" spans="1:18" x14ac:dyDescent="0.25">
      <c r="A378" s="2">
        <f t="shared" si="10"/>
        <v>377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>
        <f t="shared" si="11"/>
        <v>0</v>
      </c>
    </row>
    <row r="379" spans="1:18" x14ac:dyDescent="0.25">
      <c r="A379" s="2">
        <f t="shared" si="10"/>
        <v>378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>
        <f t="shared" si="11"/>
        <v>0</v>
      </c>
    </row>
    <row r="380" spans="1:18" x14ac:dyDescent="0.25">
      <c r="A380" s="2">
        <f t="shared" si="10"/>
        <v>379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>
        <f t="shared" si="11"/>
        <v>0</v>
      </c>
    </row>
    <row r="381" spans="1:18" x14ac:dyDescent="0.25">
      <c r="A381" s="2">
        <f t="shared" si="10"/>
        <v>380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>
        <f t="shared" si="11"/>
        <v>0</v>
      </c>
    </row>
    <row r="382" spans="1:18" x14ac:dyDescent="0.25">
      <c r="A382" s="2">
        <f t="shared" si="10"/>
        <v>381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>
        <f t="shared" si="11"/>
        <v>0</v>
      </c>
    </row>
    <row r="383" spans="1:18" x14ac:dyDescent="0.25">
      <c r="A383" s="2">
        <f t="shared" si="10"/>
        <v>382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>
        <f t="shared" si="11"/>
        <v>0</v>
      </c>
    </row>
    <row r="384" spans="1:18" x14ac:dyDescent="0.25">
      <c r="A384" s="2">
        <f t="shared" si="10"/>
        <v>383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>
        <f t="shared" si="11"/>
        <v>0</v>
      </c>
    </row>
    <row r="385" spans="1:18" x14ac:dyDescent="0.25">
      <c r="A385" s="2">
        <f t="shared" si="10"/>
        <v>384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>
        <f t="shared" si="11"/>
        <v>0</v>
      </c>
    </row>
    <row r="386" spans="1:18" x14ac:dyDescent="0.25">
      <c r="A386" s="2">
        <f t="shared" ref="A386:A449" si="12">ROW(A386)-1</f>
        <v>385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>
        <f t="shared" ref="R386:R449" si="13">((F386)+(G386)+(H386)+(I386*2)+(J386)+(K386*2)+(L386)+(M386)+(N386*2)+(O386)+(P386)+(Q386))/15</f>
        <v>0</v>
      </c>
    </row>
    <row r="387" spans="1:18" x14ac:dyDescent="0.25">
      <c r="A387" s="2">
        <f t="shared" si="12"/>
        <v>386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>
        <f t="shared" si="13"/>
        <v>0</v>
      </c>
    </row>
    <row r="388" spans="1:18" x14ac:dyDescent="0.25">
      <c r="A388" s="2">
        <f t="shared" si="12"/>
        <v>387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>
        <f t="shared" si="13"/>
        <v>0</v>
      </c>
    </row>
    <row r="389" spans="1:18" x14ac:dyDescent="0.25">
      <c r="A389" s="2">
        <f t="shared" si="12"/>
        <v>388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>
        <f t="shared" si="13"/>
        <v>0</v>
      </c>
    </row>
    <row r="390" spans="1:18" x14ac:dyDescent="0.25">
      <c r="A390" s="2">
        <f t="shared" si="12"/>
        <v>389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>
        <f t="shared" si="13"/>
        <v>0</v>
      </c>
    </row>
    <row r="391" spans="1:18" x14ac:dyDescent="0.25">
      <c r="A391" s="2">
        <f t="shared" si="12"/>
        <v>390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>
        <f t="shared" si="13"/>
        <v>0</v>
      </c>
    </row>
    <row r="392" spans="1:18" x14ac:dyDescent="0.25">
      <c r="A392" s="2">
        <f t="shared" si="12"/>
        <v>391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>
        <f t="shared" si="13"/>
        <v>0</v>
      </c>
    </row>
    <row r="393" spans="1:18" x14ac:dyDescent="0.25">
      <c r="A393" s="2">
        <f t="shared" si="12"/>
        <v>392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>
        <f t="shared" si="13"/>
        <v>0</v>
      </c>
    </row>
    <row r="394" spans="1:18" x14ac:dyDescent="0.25">
      <c r="A394" s="2">
        <f t="shared" si="12"/>
        <v>393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>
        <f t="shared" si="13"/>
        <v>0</v>
      </c>
    </row>
    <row r="395" spans="1:18" x14ac:dyDescent="0.25">
      <c r="A395" s="2">
        <f t="shared" si="12"/>
        <v>394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>
        <f t="shared" si="13"/>
        <v>0</v>
      </c>
    </row>
    <row r="396" spans="1:18" x14ac:dyDescent="0.25">
      <c r="A396" s="2">
        <f t="shared" si="12"/>
        <v>395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>
        <f t="shared" si="13"/>
        <v>0</v>
      </c>
    </row>
    <row r="397" spans="1:18" x14ac:dyDescent="0.25">
      <c r="A397" s="2">
        <f t="shared" si="12"/>
        <v>396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>
        <f t="shared" si="13"/>
        <v>0</v>
      </c>
    </row>
    <row r="398" spans="1:18" x14ac:dyDescent="0.25">
      <c r="A398" s="2">
        <f t="shared" si="12"/>
        <v>397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>
        <f t="shared" si="13"/>
        <v>0</v>
      </c>
    </row>
    <row r="399" spans="1:18" x14ac:dyDescent="0.25">
      <c r="A399" s="2">
        <f t="shared" si="12"/>
        <v>398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>
        <f t="shared" si="13"/>
        <v>0</v>
      </c>
    </row>
    <row r="400" spans="1:18" x14ac:dyDescent="0.25">
      <c r="A400" s="2">
        <f t="shared" si="12"/>
        <v>399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>
        <f t="shared" si="13"/>
        <v>0</v>
      </c>
    </row>
    <row r="401" spans="1:18" x14ac:dyDescent="0.25">
      <c r="A401" s="2">
        <f t="shared" si="12"/>
        <v>400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>
        <f t="shared" si="13"/>
        <v>0</v>
      </c>
    </row>
    <row r="402" spans="1:18" x14ac:dyDescent="0.25">
      <c r="A402" s="2">
        <f t="shared" si="12"/>
        <v>401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>
        <f t="shared" si="13"/>
        <v>0</v>
      </c>
    </row>
    <row r="403" spans="1:18" x14ac:dyDescent="0.25">
      <c r="A403" s="2">
        <f t="shared" si="12"/>
        <v>402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>
        <f t="shared" si="13"/>
        <v>0</v>
      </c>
    </row>
    <row r="404" spans="1:18" x14ac:dyDescent="0.25">
      <c r="A404" s="2">
        <f t="shared" si="12"/>
        <v>403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>
        <f t="shared" si="13"/>
        <v>0</v>
      </c>
    </row>
    <row r="405" spans="1:18" x14ac:dyDescent="0.25">
      <c r="A405" s="2">
        <f t="shared" si="12"/>
        <v>404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>
        <f t="shared" si="13"/>
        <v>0</v>
      </c>
    </row>
    <row r="406" spans="1:18" x14ac:dyDescent="0.25">
      <c r="A406" s="2">
        <f t="shared" si="12"/>
        <v>405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>
        <f t="shared" si="13"/>
        <v>0</v>
      </c>
    </row>
    <row r="407" spans="1:18" x14ac:dyDescent="0.25">
      <c r="A407" s="2">
        <f t="shared" si="12"/>
        <v>406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>
        <f t="shared" si="13"/>
        <v>0</v>
      </c>
    </row>
    <row r="408" spans="1:18" x14ac:dyDescent="0.25">
      <c r="A408" s="2">
        <f t="shared" si="12"/>
        <v>407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>
        <f t="shared" si="13"/>
        <v>0</v>
      </c>
    </row>
    <row r="409" spans="1:18" x14ac:dyDescent="0.25">
      <c r="A409" s="2">
        <f t="shared" si="12"/>
        <v>408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>
        <f t="shared" si="13"/>
        <v>0</v>
      </c>
    </row>
    <row r="410" spans="1:18" x14ac:dyDescent="0.25">
      <c r="A410" s="2">
        <f t="shared" si="12"/>
        <v>409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>
        <f t="shared" si="13"/>
        <v>0</v>
      </c>
    </row>
    <row r="411" spans="1:18" x14ac:dyDescent="0.25">
      <c r="A411" s="2">
        <f t="shared" si="12"/>
        <v>410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>
        <f t="shared" si="13"/>
        <v>0</v>
      </c>
    </row>
    <row r="412" spans="1:18" x14ac:dyDescent="0.25">
      <c r="A412" s="2">
        <f t="shared" si="12"/>
        <v>411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>
        <f t="shared" si="13"/>
        <v>0</v>
      </c>
    </row>
    <row r="413" spans="1:18" x14ac:dyDescent="0.25">
      <c r="A413" s="2">
        <f t="shared" si="12"/>
        <v>412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>
        <f t="shared" si="13"/>
        <v>0</v>
      </c>
    </row>
    <row r="414" spans="1:18" x14ac:dyDescent="0.25">
      <c r="A414" s="2">
        <f t="shared" si="12"/>
        <v>413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>
        <f t="shared" si="13"/>
        <v>0</v>
      </c>
    </row>
    <row r="415" spans="1:18" x14ac:dyDescent="0.25">
      <c r="A415" s="2">
        <f t="shared" si="12"/>
        <v>414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>
        <f t="shared" si="13"/>
        <v>0</v>
      </c>
    </row>
    <row r="416" spans="1:18" x14ac:dyDescent="0.25">
      <c r="A416" s="2">
        <f t="shared" si="12"/>
        <v>415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>
        <f t="shared" si="13"/>
        <v>0</v>
      </c>
    </row>
    <row r="417" spans="1:18" x14ac:dyDescent="0.25">
      <c r="A417" s="2">
        <f t="shared" si="12"/>
        <v>416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>
        <f t="shared" si="13"/>
        <v>0</v>
      </c>
    </row>
    <row r="418" spans="1:18" x14ac:dyDescent="0.25">
      <c r="A418" s="2">
        <f t="shared" si="12"/>
        <v>417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>
        <f t="shared" si="13"/>
        <v>0</v>
      </c>
    </row>
    <row r="419" spans="1:18" x14ac:dyDescent="0.25">
      <c r="A419" s="2">
        <f t="shared" si="12"/>
        <v>418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>
        <f t="shared" si="13"/>
        <v>0</v>
      </c>
    </row>
    <row r="420" spans="1:18" x14ac:dyDescent="0.25">
      <c r="A420" s="2">
        <f t="shared" si="12"/>
        <v>419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>
        <f t="shared" si="13"/>
        <v>0</v>
      </c>
    </row>
    <row r="421" spans="1:18" x14ac:dyDescent="0.25">
      <c r="A421" s="2">
        <f t="shared" si="12"/>
        <v>420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>
        <f t="shared" si="13"/>
        <v>0</v>
      </c>
    </row>
    <row r="422" spans="1:18" x14ac:dyDescent="0.25">
      <c r="A422" s="2">
        <f t="shared" si="12"/>
        <v>421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>
        <f t="shared" si="13"/>
        <v>0</v>
      </c>
    </row>
    <row r="423" spans="1:18" x14ac:dyDescent="0.25">
      <c r="A423" s="2">
        <f t="shared" si="12"/>
        <v>422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>
        <f t="shared" si="13"/>
        <v>0</v>
      </c>
    </row>
    <row r="424" spans="1:18" x14ac:dyDescent="0.25">
      <c r="A424" s="2">
        <f t="shared" si="12"/>
        <v>423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>
        <f t="shared" si="13"/>
        <v>0</v>
      </c>
    </row>
    <row r="425" spans="1:18" x14ac:dyDescent="0.25">
      <c r="A425" s="2">
        <f t="shared" si="12"/>
        <v>424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>
        <f t="shared" si="13"/>
        <v>0</v>
      </c>
    </row>
    <row r="426" spans="1:18" x14ac:dyDescent="0.25">
      <c r="A426" s="2">
        <f t="shared" si="12"/>
        <v>425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>
        <f t="shared" si="13"/>
        <v>0</v>
      </c>
    </row>
    <row r="427" spans="1:18" x14ac:dyDescent="0.25">
      <c r="A427" s="2">
        <f t="shared" si="12"/>
        <v>426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>
        <f t="shared" si="13"/>
        <v>0</v>
      </c>
    </row>
    <row r="428" spans="1:18" x14ac:dyDescent="0.25">
      <c r="A428" s="2">
        <f t="shared" si="12"/>
        <v>427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>
        <f t="shared" si="13"/>
        <v>0</v>
      </c>
    </row>
    <row r="429" spans="1:18" x14ac:dyDescent="0.25">
      <c r="A429" s="2">
        <f t="shared" si="12"/>
        <v>428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>
        <f t="shared" si="13"/>
        <v>0</v>
      </c>
    </row>
    <row r="430" spans="1:18" x14ac:dyDescent="0.25">
      <c r="A430" s="2">
        <f t="shared" si="12"/>
        <v>429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>
        <f t="shared" si="13"/>
        <v>0</v>
      </c>
    </row>
    <row r="431" spans="1:18" x14ac:dyDescent="0.25">
      <c r="A431" s="2">
        <f t="shared" si="12"/>
        <v>430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>
        <f t="shared" si="13"/>
        <v>0</v>
      </c>
    </row>
    <row r="432" spans="1:18" x14ac:dyDescent="0.25">
      <c r="A432" s="2">
        <f t="shared" si="12"/>
        <v>431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>
        <f t="shared" si="13"/>
        <v>0</v>
      </c>
    </row>
    <row r="433" spans="1:18" x14ac:dyDescent="0.25">
      <c r="A433" s="2">
        <f t="shared" si="12"/>
        <v>432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>
        <f t="shared" si="13"/>
        <v>0</v>
      </c>
    </row>
    <row r="434" spans="1:18" x14ac:dyDescent="0.25">
      <c r="A434" s="2">
        <f t="shared" si="12"/>
        <v>433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>
        <f t="shared" si="13"/>
        <v>0</v>
      </c>
    </row>
    <row r="435" spans="1:18" x14ac:dyDescent="0.25">
      <c r="A435" s="2">
        <f t="shared" si="12"/>
        <v>434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>
        <f t="shared" si="13"/>
        <v>0</v>
      </c>
    </row>
    <row r="436" spans="1:18" x14ac:dyDescent="0.25">
      <c r="A436" s="2">
        <f t="shared" si="12"/>
        <v>435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>
        <f t="shared" si="13"/>
        <v>0</v>
      </c>
    </row>
    <row r="437" spans="1:18" x14ac:dyDescent="0.25">
      <c r="A437" s="2">
        <f t="shared" si="12"/>
        <v>436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>
        <f t="shared" si="13"/>
        <v>0</v>
      </c>
    </row>
    <row r="438" spans="1:18" x14ac:dyDescent="0.25">
      <c r="A438" s="2">
        <f t="shared" si="12"/>
        <v>437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>
        <f t="shared" si="13"/>
        <v>0</v>
      </c>
    </row>
    <row r="439" spans="1:18" x14ac:dyDescent="0.25">
      <c r="A439" s="2">
        <f t="shared" si="12"/>
        <v>438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>
        <f t="shared" si="13"/>
        <v>0</v>
      </c>
    </row>
    <row r="440" spans="1:18" x14ac:dyDescent="0.25">
      <c r="A440" s="2">
        <f t="shared" si="12"/>
        <v>439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>
        <f t="shared" si="13"/>
        <v>0</v>
      </c>
    </row>
    <row r="441" spans="1:18" x14ac:dyDescent="0.25">
      <c r="A441" s="2">
        <f t="shared" si="12"/>
        <v>440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>
        <f t="shared" si="13"/>
        <v>0</v>
      </c>
    </row>
    <row r="442" spans="1:18" x14ac:dyDescent="0.25">
      <c r="A442" s="2">
        <f t="shared" si="12"/>
        <v>441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>
        <f t="shared" si="13"/>
        <v>0</v>
      </c>
    </row>
    <row r="443" spans="1:18" x14ac:dyDescent="0.25">
      <c r="A443" s="2">
        <f t="shared" si="12"/>
        <v>442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>
        <f t="shared" si="13"/>
        <v>0</v>
      </c>
    </row>
    <row r="444" spans="1:18" x14ac:dyDescent="0.25">
      <c r="A444" s="2">
        <f t="shared" si="12"/>
        <v>443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>
        <f t="shared" si="13"/>
        <v>0</v>
      </c>
    </row>
    <row r="445" spans="1:18" x14ac:dyDescent="0.25">
      <c r="A445" s="2">
        <f t="shared" si="12"/>
        <v>444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>
        <f t="shared" si="13"/>
        <v>0</v>
      </c>
    </row>
    <row r="446" spans="1:18" x14ac:dyDescent="0.25">
      <c r="A446" s="2">
        <f t="shared" si="12"/>
        <v>445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>
        <f t="shared" si="13"/>
        <v>0</v>
      </c>
    </row>
    <row r="447" spans="1:18" x14ac:dyDescent="0.25">
      <c r="A447" s="2">
        <f t="shared" si="12"/>
        <v>446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>
        <f t="shared" si="13"/>
        <v>0</v>
      </c>
    </row>
    <row r="448" spans="1:18" x14ac:dyDescent="0.25">
      <c r="A448" s="2">
        <f t="shared" si="12"/>
        <v>447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>
        <f t="shared" si="13"/>
        <v>0</v>
      </c>
    </row>
    <row r="449" spans="1:18" x14ac:dyDescent="0.25">
      <c r="A449" s="2">
        <f t="shared" si="12"/>
        <v>448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>
        <f t="shared" si="13"/>
        <v>0</v>
      </c>
    </row>
    <row r="450" spans="1:18" x14ac:dyDescent="0.25">
      <c r="A450" s="2">
        <f t="shared" ref="A450:A503" si="14">ROW(A450)-1</f>
        <v>449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>
        <f t="shared" ref="R450:R503" si="15">((F450)+(G450)+(H450)+(I450*2)+(J450)+(K450*2)+(L450)+(M450)+(N450*2)+(O450)+(P450)+(Q450))/15</f>
        <v>0</v>
      </c>
    </row>
    <row r="451" spans="1:18" x14ac:dyDescent="0.25">
      <c r="A451" s="2">
        <f t="shared" si="14"/>
        <v>450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>
        <f t="shared" si="15"/>
        <v>0</v>
      </c>
    </row>
    <row r="452" spans="1:18" x14ac:dyDescent="0.25">
      <c r="A452" s="2">
        <f t="shared" si="14"/>
        <v>451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>
        <f t="shared" si="15"/>
        <v>0</v>
      </c>
    </row>
    <row r="453" spans="1:18" x14ac:dyDescent="0.25">
      <c r="A453" s="2">
        <f t="shared" si="14"/>
        <v>452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>
        <f t="shared" si="15"/>
        <v>0</v>
      </c>
    </row>
    <row r="454" spans="1:18" x14ac:dyDescent="0.25">
      <c r="A454" s="2">
        <f t="shared" si="14"/>
        <v>453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>
        <f t="shared" si="15"/>
        <v>0</v>
      </c>
    </row>
    <row r="455" spans="1:18" x14ac:dyDescent="0.25">
      <c r="A455" s="2">
        <f t="shared" si="14"/>
        <v>454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>
        <f t="shared" si="15"/>
        <v>0</v>
      </c>
    </row>
    <row r="456" spans="1:18" x14ac:dyDescent="0.25">
      <c r="A456" s="2">
        <f t="shared" si="14"/>
        <v>455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>
        <f t="shared" si="15"/>
        <v>0</v>
      </c>
    </row>
    <row r="457" spans="1:18" x14ac:dyDescent="0.25">
      <c r="A457" s="2">
        <f t="shared" si="14"/>
        <v>456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>
        <f t="shared" si="15"/>
        <v>0</v>
      </c>
    </row>
    <row r="458" spans="1:18" x14ac:dyDescent="0.25">
      <c r="A458" s="2">
        <f t="shared" si="14"/>
        <v>457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>
        <f t="shared" si="15"/>
        <v>0</v>
      </c>
    </row>
    <row r="459" spans="1:18" x14ac:dyDescent="0.25">
      <c r="A459" s="2">
        <f t="shared" si="14"/>
        <v>458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>
        <f t="shared" si="15"/>
        <v>0</v>
      </c>
    </row>
    <row r="460" spans="1:18" x14ac:dyDescent="0.25">
      <c r="A460" s="2">
        <f t="shared" si="14"/>
        <v>459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>
        <f t="shared" si="15"/>
        <v>0</v>
      </c>
    </row>
    <row r="461" spans="1:18" x14ac:dyDescent="0.25">
      <c r="A461" s="2">
        <f t="shared" si="14"/>
        <v>460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>
        <f t="shared" si="15"/>
        <v>0</v>
      </c>
    </row>
    <row r="462" spans="1:18" x14ac:dyDescent="0.25">
      <c r="A462" s="2">
        <f t="shared" si="14"/>
        <v>461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>
        <f t="shared" si="15"/>
        <v>0</v>
      </c>
    </row>
    <row r="463" spans="1:18" x14ac:dyDescent="0.25">
      <c r="A463" s="2">
        <f t="shared" si="14"/>
        <v>462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>
        <f t="shared" si="15"/>
        <v>0</v>
      </c>
    </row>
    <row r="464" spans="1:18" x14ac:dyDescent="0.25">
      <c r="A464" s="2">
        <f t="shared" si="14"/>
        <v>463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>
        <f t="shared" si="15"/>
        <v>0</v>
      </c>
    </row>
    <row r="465" spans="1:18" x14ac:dyDescent="0.25">
      <c r="A465" s="2">
        <f t="shared" si="14"/>
        <v>464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>
        <f t="shared" si="15"/>
        <v>0</v>
      </c>
    </row>
    <row r="466" spans="1:18" x14ac:dyDescent="0.25">
      <c r="A466" s="2">
        <f t="shared" si="14"/>
        <v>465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>
        <f t="shared" si="15"/>
        <v>0</v>
      </c>
    </row>
    <row r="467" spans="1:18" x14ac:dyDescent="0.25">
      <c r="A467" s="2">
        <f t="shared" si="14"/>
        <v>466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>
        <f t="shared" si="15"/>
        <v>0</v>
      </c>
    </row>
    <row r="468" spans="1:18" x14ac:dyDescent="0.25">
      <c r="A468" s="2">
        <f t="shared" si="14"/>
        <v>467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>
        <f t="shared" si="15"/>
        <v>0</v>
      </c>
    </row>
    <row r="469" spans="1:18" x14ac:dyDescent="0.25">
      <c r="A469" s="2">
        <f t="shared" si="14"/>
        <v>468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>
        <f t="shared" si="15"/>
        <v>0</v>
      </c>
    </row>
    <row r="470" spans="1:18" x14ac:dyDescent="0.25">
      <c r="A470" s="2">
        <f t="shared" si="14"/>
        <v>469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>
        <f t="shared" si="15"/>
        <v>0</v>
      </c>
    </row>
    <row r="471" spans="1:18" x14ac:dyDescent="0.25">
      <c r="A471" s="2">
        <f t="shared" si="14"/>
        <v>470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>
        <f t="shared" si="15"/>
        <v>0</v>
      </c>
    </row>
    <row r="472" spans="1:18" x14ac:dyDescent="0.25">
      <c r="A472" s="2">
        <f t="shared" si="14"/>
        <v>471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>
        <f t="shared" si="15"/>
        <v>0</v>
      </c>
    </row>
    <row r="473" spans="1:18" x14ac:dyDescent="0.25">
      <c r="A473" s="2">
        <f t="shared" si="14"/>
        <v>472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>
        <f t="shared" si="15"/>
        <v>0</v>
      </c>
    </row>
    <row r="474" spans="1:18" x14ac:dyDescent="0.25">
      <c r="A474" s="2">
        <f t="shared" si="14"/>
        <v>473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>
        <f t="shared" si="15"/>
        <v>0</v>
      </c>
    </row>
    <row r="475" spans="1:18" x14ac:dyDescent="0.25">
      <c r="A475" s="2">
        <f t="shared" si="14"/>
        <v>474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>
        <f t="shared" si="15"/>
        <v>0</v>
      </c>
    </row>
    <row r="476" spans="1:18" x14ac:dyDescent="0.25">
      <c r="A476" s="2">
        <f t="shared" si="14"/>
        <v>475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>
        <f t="shared" si="15"/>
        <v>0</v>
      </c>
    </row>
    <row r="477" spans="1:18" x14ac:dyDescent="0.25">
      <c r="A477" s="2">
        <f t="shared" si="14"/>
        <v>476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>
        <f t="shared" si="15"/>
        <v>0</v>
      </c>
    </row>
    <row r="478" spans="1:18" x14ac:dyDescent="0.25">
      <c r="A478" s="2">
        <f t="shared" si="14"/>
        <v>477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>
        <f t="shared" si="15"/>
        <v>0</v>
      </c>
    </row>
    <row r="479" spans="1:18" x14ac:dyDescent="0.25">
      <c r="A479" s="2">
        <f t="shared" si="14"/>
        <v>478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>
        <f t="shared" si="15"/>
        <v>0</v>
      </c>
    </row>
    <row r="480" spans="1:18" x14ac:dyDescent="0.25">
      <c r="A480" s="2">
        <f t="shared" si="14"/>
        <v>479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>
        <f t="shared" si="15"/>
        <v>0</v>
      </c>
    </row>
    <row r="481" spans="1:18" x14ac:dyDescent="0.25">
      <c r="A481" s="2">
        <f t="shared" si="14"/>
        <v>480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>
        <f t="shared" si="15"/>
        <v>0</v>
      </c>
    </row>
    <row r="482" spans="1:18" x14ac:dyDescent="0.25">
      <c r="A482" s="2">
        <f t="shared" si="14"/>
        <v>481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>
        <f t="shared" si="15"/>
        <v>0</v>
      </c>
    </row>
    <row r="483" spans="1:18" x14ac:dyDescent="0.25">
      <c r="A483" s="2">
        <f t="shared" si="14"/>
        <v>482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>
        <f t="shared" si="15"/>
        <v>0</v>
      </c>
    </row>
    <row r="484" spans="1:18" x14ac:dyDescent="0.25">
      <c r="A484" s="2">
        <f t="shared" si="14"/>
        <v>483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>
        <f t="shared" si="15"/>
        <v>0</v>
      </c>
    </row>
    <row r="485" spans="1:18" x14ac:dyDescent="0.25">
      <c r="A485" s="2">
        <f t="shared" si="14"/>
        <v>484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>
        <f t="shared" si="15"/>
        <v>0</v>
      </c>
    </row>
    <row r="486" spans="1:18" x14ac:dyDescent="0.25">
      <c r="A486" s="2">
        <f t="shared" si="14"/>
        <v>485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>
        <f t="shared" si="15"/>
        <v>0</v>
      </c>
    </row>
    <row r="487" spans="1:18" x14ac:dyDescent="0.25">
      <c r="A487" s="2">
        <f t="shared" si="14"/>
        <v>486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>
        <f t="shared" si="15"/>
        <v>0</v>
      </c>
    </row>
    <row r="488" spans="1:18" x14ac:dyDescent="0.25">
      <c r="A488" s="2">
        <f t="shared" si="14"/>
        <v>487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>
        <f t="shared" si="15"/>
        <v>0</v>
      </c>
    </row>
    <row r="489" spans="1:18" x14ac:dyDescent="0.25">
      <c r="A489" s="2">
        <f t="shared" si="14"/>
        <v>488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>
        <f t="shared" si="15"/>
        <v>0</v>
      </c>
    </row>
    <row r="490" spans="1:18" x14ac:dyDescent="0.25">
      <c r="A490" s="2">
        <f t="shared" si="14"/>
        <v>489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>
        <f t="shared" si="15"/>
        <v>0</v>
      </c>
    </row>
    <row r="491" spans="1:18" x14ac:dyDescent="0.25">
      <c r="A491" s="2">
        <f t="shared" si="14"/>
        <v>490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>
        <f t="shared" si="15"/>
        <v>0</v>
      </c>
    </row>
    <row r="492" spans="1:18" x14ac:dyDescent="0.25">
      <c r="A492" s="2">
        <f t="shared" si="14"/>
        <v>491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>
        <f t="shared" si="15"/>
        <v>0</v>
      </c>
    </row>
    <row r="493" spans="1:18" x14ac:dyDescent="0.25">
      <c r="A493" s="2">
        <f t="shared" si="14"/>
        <v>492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>
        <f t="shared" si="15"/>
        <v>0</v>
      </c>
    </row>
    <row r="494" spans="1:18" x14ac:dyDescent="0.25">
      <c r="A494" s="2">
        <f t="shared" si="14"/>
        <v>493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>
        <f t="shared" si="15"/>
        <v>0</v>
      </c>
    </row>
    <row r="495" spans="1:18" x14ac:dyDescent="0.25">
      <c r="A495" s="2">
        <f t="shared" si="14"/>
        <v>494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>
        <f t="shared" si="15"/>
        <v>0</v>
      </c>
    </row>
    <row r="496" spans="1:18" x14ac:dyDescent="0.25">
      <c r="A496" s="2">
        <f t="shared" si="14"/>
        <v>495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>
        <f t="shared" si="15"/>
        <v>0</v>
      </c>
    </row>
    <row r="497" spans="1:18" x14ac:dyDescent="0.25">
      <c r="A497" s="2">
        <f t="shared" si="14"/>
        <v>496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>
        <f t="shared" si="15"/>
        <v>0</v>
      </c>
    </row>
    <row r="498" spans="1:18" x14ac:dyDescent="0.25">
      <c r="A498" s="2">
        <f t="shared" si="14"/>
        <v>497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>
        <f t="shared" si="15"/>
        <v>0</v>
      </c>
    </row>
    <row r="499" spans="1:18" x14ac:dyDescent="0.25">
      <c r="A499" s="2">
        <f t="shared" si="14"/>
        <v>498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>
        <f t="shared" si="15"/>
        <v>0</v>
      </c>
    </row>
    <row r="500" spans="1:18" x14ac:dyDescent="0.25">
      <c r="A500" s="2">
        <f t="shared" si="14"/>
        <v>499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>
        <f t="shared" si="15"/>
        <v>0</v>
      </c>
    </row>
    <row r="501" spans="1:18" x14ac:dyDescent="0.25">
      <c r="A501" s="2">
        <f t="shared" si="14"/>
        <v>500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>
        <f t="shared" si="15"/>
        <v>0</v>
      </c>
    </row>
    <row r="502" spans="1:18" x14ac:dyDescent="0.25">
      <c r="A502" s="2">
        <f t="shared" si="14"/>
        <v>501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>
        <f t="shared" si="15"/>
        <v>0</v>
      </c>
    </row>
    <row r="503" spans="1:18" x14ac:dyDescent="0.25">
      <c r="A503" s="2">
        <f t="shared" si="14"/>
        <v>502</v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>
        <f t="shared" si="15"/>
        <v>0</v>
      </c>
    </row>
  </sheetData>
  <pageMargins left="0.25" right="0.25" top="0.75" bottom="0.75" header="0.3" footer="0.3"/>
  <pageSetup paperSize="9" scale="66" orientation="landscape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F1FFFC3-9DBB-4731-BA1B-E82716BB1555}">
          <x14:formula1>
            <xm:f>مرجع!$C$2:$C$5</xm:f>
          </x14:formula1>
          <xm:sqref>B45:B1048576</xm:sqref>
        </x14:dataValidation>
        <x14:dataValidation type="list" allowBlank="1" showInputMessage="1" showErrorMessage="1" xr:uid="{338295BA-44AF-4A25-9B80-B0E7423CE017}">
          <x14:formula1>
            <xm:f>مرجع!$F$2:$F$13</xm:f>
          </x14:formula1>
          <xm:sqref>C45:C1048576</xm:sqref>
        </x14:dataValidation>
        <x14:dataValidation type="list" allowBlank="1" showInputMessage="1" showErrorMessage="1" xr:uid="{17900D1F-CFE2-4FEE-8C13-9D11F618D860}">
          <x14:formula1>
            <xm:f>مرجع!$D$2:$D$6</xm:f>
          </x14:formula1>
          <xm:sqref>D45:D1048576</xm:sqref>
        </x14:dataValidation>
        <x14:dataValidation type="list" allowBlank="1" showInputMessage="1" showErrorMessage="1" xr:uid="{418C3CB2-0178-403E-B3FD-38927B97C297}">
          <x14:formula1>
            <xm:f>مرجع!$P$2:$P$12</xm:f>
          </x14:formula1>
          <xm:sqref>E45:E1048576</xm:sqref>
        </x14:dataValidation>
        <x14:dataValidation type="list" allowBlank="1" showInputMessage="1" showErrorMessage="1" xr:uid="{3514F643-946F-4046-BC5F-DBBBCDA02E45}">
          <x14:formula1>
            <xm:f>مرجع!$AE$2:$AE$6</xm:f>
          </x14:formula1>
          <xm:sqref>F2:Q1048576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9ABD-7841-40C0-BA7B-988AF8E96256}">
  <sheetPr>
    <pageSetUpPr fitToPage="1"/>
  </sheetPr>
  <dimension ref="A1:N105"/>
  <sheetViews>
    <sheetView rightToLeft="1" tabSelected="1" topLeftCell="D1" workbookViewId="0">
      <selection activeCell="K11" sqref="K11"/>
    </sheetView>
  </sheetViews>
  <sheetFormatPr defaultRowHeight="15" x14ac:dyDescent="0.25"/>
  <cols>
    <col min="1" max="4" width="9.140625" style="3"/>
    <col min="5" max="5" width="19.7109375" style="3" customWidth="1"/>
    <col min="6" max="6" width="23.42578125" bestFit="1" customWidth="1"/>
    <col min="7" max="7" width="12.7109375" bestFit="1" customWidth="1"/>
    <col min="8" max="8" width="17.140625" bestFit="1" customWidth="1"/>
    <col min="10" max="10" width="21.5703125" customWidth="1"/>
    <col min="11" max="11" width="29" bestFit="1" customWidth="1"/>
    <col min="12" max="12" width="15.7109375" bestFit="1" customWidth="1"/>
    <col min="13" max="13" width="23" bestFit="1" customWidth="1"/>
  </cols>
  <sheetData>
    <row r="1" spans="1:14" ht="22.5" x14ac:dyDescent="0.55000000000000004">
      <c r="A1" s="1" t="s">
        <v>483</v>
      </c>
      <c r="B1" s="1" t="s">
        <v>484</v>
      </c>
      <c r="C1" s="1" t="s">
        <v>485</v>
      </c>
      <c r="D1" s="1" t="s">
        <v>486</v>
      </c>
      <c r="E1" s="1" t="s">
        <v>487</v>
      </c>
      <c r="F1" s="1" t="s">
        <v>508</v>
      </c>
      <c r="G1" s="1" t="s">
        <v>499</v>
      </c>
      <c r="H1" s="1" t="s">
        <v>495</v>
      </c>
      <c r="I1" s="1" t="s">
        <v>494</v>
      </c>
      <c r="J1" s="1" t="s">
        <v>493</v>
      </c>
      <c r="K1" s="1" t="s">
        <v>511</v>
      </c>
      <c r="L1" s="1" t="s">
        <v>512</v>
      </c>
      <c r="M1" s="1" t="s">
        <v>504</v>
      </c>
      <c r="N1" s="1" t="s">
        <v>498</v>
      </c>
    </row>
    <row r="2" spans="1:14" x14ac:dyDescent="0.25">
      <c r="A2" s="2">
        <f>ROW(A2)-1</f>
        <v>1</v>
      </c>
      <c r="B2" s="2">
        <v>1405</v>
      </c>
      <c r="C2" s="2" t="s">
        <v>54</v>
      </c>
      <c r="D2" s="2">
        <v>2</v>
      </c>
      <c r="E2" s="2" t="s">
        <v>23</v>
      </c>
      <c r="F2" s="2">
        <v>3</v>
      </c>
      <c r="G2" s="2">
        <v>4</v>
      </c>
      <c r="H2" s="2">
        <v>4</v>
      </c>
      <c r="I2" s="2">
        <v>4</v>
      </c>
      <c r="J2" s="2">
        <v>4</v>
      </c>
      <c r="K2" s="2">
        <v>4</v>
      </c>
      <c r="L2" s="2">
        <v>2</v>
      </c>
      <c r="M2" s="2">
        <v>3</v>
      </c>
      <c r="N2" s="2">
        <f>((F2*2)+(G2*2)+(H2*2)+(I2*2)+(J2)+(K2*4)+(L2)+(M2))/15</f>
        <v>3.6666666666666665</v>
      </c>
    </row>
    <row r="3" spans="1:14" x14ac:dyDescent="0.25">
      <c r="A3" s="2">
        <f t="shared" ref="A3:A62" si="0">ROW(A3)-1</f>
        <v>2</v>
      </c>
      <c r="B3" s="2">
        <v>1405</v>
      </c>
      <c r="C3" s="2" t="s">
        <v>54</v>
      </c>
      <c r="D3" s="2">
        <v>2</v>
      </c>
      <c r="E3" s="2" t="s">
        <v>49</v>
      </c>
      <c r="F3" s="2">
        <v>5</v>
      </c>
      <c r="G3" s="2">
        <v>5</v>
      </c>
      <c r="H3" s="2">
        <v>5</v>
      </c>
      <c r="I3" s="2">
        <v>4</v>
      </c>
      <c r="J3" s="2">
        <v>5</v>
      </c>
      <c r="K3" s="2">
        <v>5</v>
      </c>
      <c r="L3" s="2">
        <v>5</v>
      </c>
      <c r="M3" s="2">
        <v>5</v>
      </c>
      <c r="N3" s="2">
        <f t="shared" ref="N3:N62" si="1">((F3*2)+(G3*2)+(H3*2)+(I3*2)+(J3)+(K3*4)+(L3)+(M3))/15</f>
        <v>4.8666666666666663</v>
      </c>
    </row>
    <row r="4" spans="1:14" x14ac:dyDescent="0.25">
      <c r="A4" s="2">
        <f t="shared" si="0"/>
        <v>3</v>
      </c>
      <c r="B4" s="2">
        <v>1405</v>
      </c>
      <c r="C4" s="2" t="s">
        <v>54</v>
      </c>
      <c r="D4" s="2">
        <v>2</v>
      </c>
      <c r="E4" s="2" t="s">
        <v>68</v>
      </c>
      <c r="F4" s="2">
        <v>5</v>
      </c>
      <c r="G4" s="2">
        <v>5</v>
      </c>
      <c r="H4" s="2">
        <v>5</v>
      </c>
      <c r="I4" s="2">
        <v>5</v>
      </c>
      <c r="J4" s="2">
        <v>5</v>
      </c>
      <c r="K4" s="2">
        <v>5</v>
      </c>
      <c r="L4" s="2">
        <v>5</v>
      </c>
      <c r="M4" s="2">
        <v>5</v>
      </c>
      <c r="N4" s="2">
        <f t="shared" si="1"/>
        <v>5</v>
      </c>
    </row>
    <row r="5" spans="1:14" x14ac:dyDescent="0.25">
      <c r="A5" s="2">
        <f t="shared" si="0"/>
        <v>4</v>
      </c>
      <c r="B5" s="2">
        <v>1405</v>
      </c>
      <c r="C5" s="2" t="s">
        <v>54</v>
      </c>
      <c r="D5" s="2">
        <v>2</v>
      </c>
      <c r="E5" s="2" t="s">
        <v>41</v>
      </c>
      <c r="F5" s="2">
        <v>5</v>
      </c>
      <c r="G5" s="2">
        <v>5</v>
      </c>
      <c r="H5" s="2">
        <v>4</v>
      </c>
      <c r="I5" s="2">
        <v>4</v>
      </c>
      <c r="J5" s="2">
        <v>5</v>
      </c>
      <c r="K5" s="2">
        <v>4</v>
      </c>
      <c r="L5" s="2">
        <v>4</v>
      </c>
      <c r="M5" s="2">
        <v>4</v>
      </c>
      <c r="N5" s="2">
        <f t="shared" si="1"/>
        <v>4.333333333333333</v>
      </c>
    </row>
    <row r="6" spans="1:14" x14ac:dyDescent="0.25">
      <c r="A6" s="2">
        <f t="shared" si="0"/>
        <v>5</v>
      </c>
      <c r="B6" s="2">
        <v>1405</v>
      </c>
      <c r="C6" s="2" t="s">
        <v>54</v>
      </c>
      <c r="D6" s="2">
        <v>2</v>
      </c>
      <c r="E6" s="2" t="s">
        <v>481</v>
      </c>
      <c r="F6" s="2">
        <v>5</v>
      </c>
      <c r="G6" s="2">
        <v>5</v>
      </c>
      <c r="H6" s="2">
        <v>4</v>
      </c>
      <c r="I6" s="2">
        <v>5</v>
      </c>
      <c r="J6" s="2">
        <v>5</v>
      </c>
      <c r="K6" s="2">
        <v>4</v>
      </c>
      <c r="L6" s="2">
        <v>4</v>
      </c>
      <c r="M6" s="2">
        <v>4</v>
      </c>
      <c r="N6" s="2">
        <f t="shared" si="1"/>
        <v>4.4666666666666668</v>
      </c>
    </row>
    <row r="7" spans="1:14" x14ac:dyDescent="0.25">
      <c r="A7" s="2">
        <f t="shared" si="0"/>
        <v>6</v>
      </c>
      <c r="B7" s="2">
        <v>1405</v>
      </c>
      <c r="C7" s="2" t="s">
        <v>54</v>
      </c>
      <c r="D7" s="2">
        <v>3</v>
      </c>
      <c r="E7" s="2" t="s">
        <v>23</v>
      </c>
      <c r="F7" s="2">
        <v>4</v>
      </c>
      <c r="G7" s="2">
        <v>4</v>
      </c>
      <c r="H7" s="2">
        <v>5</v>
      </c>
      <c r="I7" s="2">
        <v>5</v>
      </c>
      <c r="J7" s="2">
        <v>5</v>
      </c>
      <c r="K7" s="2">
        <v>4</v>
      </c>
      <c r="L7" s="2">
        <v>4</v>
      </c>
      <c r="M7" s="2">
        <v>4</v>
      </c>
      <c r="N7" s="2">
        <f t="shared" si="1"/>
        <v>4.333333333333333</v>
      </c>
    </row>
    <row r="8" spans="1:14" x14ac:dyDescent="0.25">
      <c r="A8" s="2">
        <f t="shared" si="0"/>
        <v>7</v>
      </c>
      <c r="B8" s="2">
        <v>1405</v>
      </c>
      <c r="C8" s="2" t="s">
        <v>54</v>
      </c>
      <c r="D8" s="2">
        <v>3</v>
      </c>
      <c r="E8" s="2" t="s">
        <v>49</v>
      </c>
      <c r="F8" s="2">
        <v>5</v>
      </c>
      <c r="G8" s="2">
        <v>5</v>
      </c>
      <c r="H8" s="2">
        <v>4</v>
      </c>
      <c r="I8" s="2">
        <v>4</v>
      </c>
      <c r="J8" s="2">
        <v>5</v>
      </c>
      <c r="K8" s="2">
        <v>5</v>
      </c>
      <c r="L8" s="2">
        <v>5</v>
      </c>
      <c r="M8" s="2">
        <v>5</v>
      </c>
      <c r="N8" s="2">
        <f t="shared" si="1"/>
        <v>4.7333333333333334</v>
      </c>
    </row>
    <row r="9" spans="1:14" x14ac:dyDescent="0.25">
      <c r="A9" s="2">
        <f t="shared" si="0"/>
        <v>8</v>
      </c>
      <c r="B9" s="2">
        <v>1405</v>
      </c>
      <c r="C9" s="2" t="s">
        <v>54</v>
      </c>
      <c r="D9" s="2">
        <v>3</v>
      </c>
      <c r="E9" s="2" t="s">
        <v>68</v>
      </c>
      <c r="F9" s="2">
        <v>5</v>
      </c>
      <c r="G9" s="2">
        <v>5</v>
      </c>
      <c r="H9" s="2">
        <v>4</v>
      </c>
      <c r="I9" s="2">
        <v>4</v>
      </c>
      <c r="J9" s="2">
        <v>5</v>
      </c>
      <c r="K9" s="2">
        <v>5</v>
      </c>
      <c r="L9" s="2">
        <v>4</v>
      </c>
      <c r="M9" s="2">
        <v>4</v>
      </c>
      <c r="N9" s="2">
        <f t="shared" si="1"/>
        <v>4.5999999999999996</v>
      </c>
    </row>
    <row r="10" spans="1:14" x14ac:dyDescent="0.25">
      <c r="A10" s="2">
        <f t="shared" si="0"/>
        <v>9</v>
      </c>
      <c r="B10" s="2">
        <v>1405</v>
      </c>
      <c r="C10" s="2" t="s">
        <v>54</v>
      </c>
      <c r="D10" s="2">
        <v>3</v>
      </c>
      <c r="E10" s="2" t="s">
        <v>41</v>
      </c>
      <c r="F10" s="2">
        <v>5</v>
      </c>
      <c r="G10" s="2">
        <v>5</v>
      </c>
      <c r="H10" s="2">
        <v>3</v>
      </c>
      <c r="I10" s="2">
        <v>3</v>
      </c>
      <c r="J10" s="2">
        <v>3</v>
      </c>
      <c r="K10" s="2">
        <v>2</v>
      </c>
      <c r="L10" s="2">
        <v>2</v>
      </c>
      <c r="M10" s="2">
        <v>3</v>
      </c>
      <c r="N10" s="2">
        <f t="shared" si="1"/>
        <v>3.2</v>
      </c>
    </row>
    <row r="11" spans="1:14" x14ac:dyDescent="0.25">
      <c r="A11" s="2">
        <f t="shared" si="0"/>
        <v>10</v>
      </c>
      <c r="B11" s="2">
        <v>1405</v>
      </c>
      <c r="C11" s="2" t="s">
        <v>54</v>
      </c>
      <c r="D11" s="2">
        <v>3</v>
      </c>
      <c r="E11" s="2" t="s">
        <v>481</v>
      </c>
      <c r="F11" s="2">
        <v>5</v>
      </c>
      <c r="G11" s="2">
        <v>5</v>
      </c>
      <c r="H11" s="2">
        <v>4</v>
      </c>
      <c r="I11" s="2">
        <v>4</v>
      </c>
      <c r="J11" s="2">
        <v>4</v>
      </c>
      <c r="K11" s="2">
        <v>4</v>
      </c>
      <c r="L11" s="2">
        <v>3</v>
      </c>
      <c r="M11" s="2">
        <v>4</v>
      </c>
      <c r="N11" s="2">
        <f t="shared" si="1"/>
        <v>4.2</v>
      </c>
    </row>
    <row r="12" spans="1:14" x14ac:dyDescent="0.25">
      <c r="A12" s="2">
        <f t="shared" si="0"/>
        <v>11</v>
      </c>
      <c r="B12" s="2">
        <v>1405</v>
      </c>
      <c r="C12" s="2" t="s">
        <v>54</v>
      </c>
      <c r="D12" s="2">
        <v>4</v>
      </c>
      <c r="E12" s="2"/>
      <c r="F12" s="2"/>
      <c r="G12" s="2"/>
      <c r="H12" s="2"/>
      <c r="I12" s="2"/>
      <c r="J12" s="2"/>
      <c r="K12" s="2"/>
      <c r="L12" s="2"/>
      <c r="M12" s="2"/>
      <c r="N12" s="2">
        <f t="shared" si="1"/>
        <v>0</v>
      </c>
    </row>
    <row r="13" spans="1:14" x14ac:dyDescent="0.25">
      <c r="A13" s="2">
        <f t="shared" si="0"/>
        <v>12</v>
      </c>
      <c r="B13" s="2">
        <v>1405</v>
      </c>
      <c r="C13" s="2" t="s">
        <v>54</v>
      </c>
      <c r="D13" s="2">
        <v>4</v>
      </c>
      <c r="E13" s="2"/>
      <c r="F13" s="2"/>
      <c r="G13" s="2"/>
      <c r="H13" s="2"/>
      <c r="I13" s="2"/>
      <c r="J13" s="2"/>
      <c r="K13" s="2"/>
      <c r="L13" s="2"/>
      <c r="M13" s="2"/>
      <c r="N13" s="2">
        <f t="shared" si="1"/>
        <v>0</v>
      </c>
    </row>
    <row r="14" spans="1:14" x14ac:dyDescent="0.25">
      <c r="A14" s="2">
        <f t="shared" si="0"/>
        <v>13</v>
      </c>
      <c r="B14" s="2">
        <v>1405</v>
      </c>
      <c r="C14" s="2" t="s">
        <v>54</v>
      </c>
      <c r="D14" s="2">
        <v>4</v>
      </c>
      <c r="E14" s="2"/>
      <c r="F14" s="2"/>
      <c r="G14" s="2"/>
      <c r="H14" s="2"/>
      <c r="I14" s="2"/>
      <c r="J14" s="2"/>
      <c r="K14" s="2"/>
      <c r="L14" s="2"/>
      <c r="M14" s="2"/>
      <c r="N14" s="2">
        <f t="shared" si="1"/>
        <v>0</v>
      </c>
    </row>
    <row r="15" spans="1:14" x14ac:dyDescent="0.25">
      <c r="A15" s="2">
        <f t="shared" si="0"/>
        <v>14</v>
      </c>
      <c r="B15" s="2">
        <v>1405</v>
      </c>
      <c r="C15" s="2" t="s">
        <v>54</v>
      </c>
      <c r="D15" s="2">
        <v>3</v>
      </c>
      <c r="E15" s="2"/>
      <c r="F15" s="2"/>
      <c r="G15" s="2"/>
      <c r="H15" s="2"/>
      <c r="I15" s="2"/>
      <c r="J15" s="2"/>
      <c r="K15" s="2"/>
      <c r="L15" s="2"/>
      <c r="M15" s="2"/>
      <c r="N15" s="2">
        <f t="shared" si="1"/>
        <v>0</v>
      </c>
    </row>
    <row r="16" spans="1:14" x14ac:dyDescent="0.25">
      <c r="A16" s="2">
        <f t="shared" si="0"/>
        <v>15</v>
      </c>
      <c r="B16" s="2">
        <v>1405</v>
      </c>
      <c r="C16" s="2" t="s">
        <v>54</v>
      </c>
      <c r="D16" s="2">
        <v>3</v>
      </c>
      <c r="E16" s="2"/>
      <c r="F16" s="2"/>
      <c r="G16" s="2"/>
      <c r="H16" s="2"/>
      <c r="I16" s="2"/>
      <c r="J16" s="2"/>
      <c r="K16" s="2"/>
      <c r="L16" s="2"/>
      <c r="M16" s="2"/>
      <c r="N16" s="2">
        <f t="shared" si="1"/>
        <v>0</v>
      </c>
    </row>
    <row r="17" spans="1:14" x14ac:dyDescent="0.25">
      <c r="A17" s="2">
        <f t="shared" si="0"/>
        <v>16</v>
      </c>
      <c r="B17" s="2">
        <v>1405</v>
      </c>
      <c r="C17" s="2" t="s">
        <v>54</v>
      </c>
      <c r="D17" s="2">
        <v>3</v>
      </c>
      <c r="E17" s="2"/>
      <c r="F17" s="2"/>
      <c r="G17" s="2"/>
      <c r="H17" s="2"/>
      <c r="I17" s="2"/>
      <c r="J17" s="2"/>
      <c r="K17" s="2"/>
      <c r="L17" s="2"/>
      <c r="M17" s="2"/>
      <c r="N17" s="2">
        <f t="shared" si="1"/>
        <v>0</v>
      </c>
    </row>
    <row r="18" spans="1:14" x14ac:dyDescent="0.25">
      <c r="A18" s="2">
        <f t="shared" si="0"/>
        <v>17</v>
      </c>
      <c r="B18" s="2">
        <v>1405</v>
      </c>
      <c r="C18" s="2" t="s">
        <v>54</v>
      </c>
      <c r="D18" s="2">
        <v>3</v>
      </c>
      <c r="E18" s="2"/>
      <c r="F18" s="2"/>
      <c r="G18" s="2"/>
      <c r="H18" s="2"/>
      <c r="I18" s="2"/>
      <c r="J18" s="2"/>
      <c r="K18" s="2"/>
      <c r="L18" s="2"/>
      <c r="M18" s="2"/>
      <c r="N18" s="2">
        <f t="shared" si="1"/>
        <v>0</v>
      </c>
    </row>
    <row r="19" spans="1:14" x14ac:dyDescent="0.25">
      <c r="A19" s="2">
        <f t="shared" si="0"/>
        <v>18</v>
      </c>
      <c r="B19" s="2">
        <v>1405</v>
      </c>
      <c r="C19" s="2" t="s">
        <v>54</v>
      </c>
      <c r="D19" s="2">
        <v>3</v>
      </c>
      <c r="E19" s="2"/>
      <c r="F19" s="2"/>
      <c r="G19" s="2"/>
      <c r="H19" s="2"/>
      <c r="I19" s="2"/>
      <c r="J19" s="2"/>
      <c r="K19" s="2"/>
      <c r="L19" s="2"/>
      <c r="M19" s="2"/>
      <c r="N19" s="2">
        <f t="shared" si="1"/>
        <v>0</v>
      </c>
    </row>
    <row r="20" spans="1:14" x14ac:dyDescent="0.25">
      <c r="A20" s="2">
        <f t="shared" si="0"/>
        <v>19</v>
      </c>
      <c r="B20" s="2">
        <v>1405</v>
      </c>
      <c r="C20" s="2" t="s">
        <v>54</v>
      </c>
      <c r="D20" s="2">
        <v>3</v>
      </c>
      <c r="E20" s="2"/>
      <c r="F20" s="2"/>
      <c r="G20" s="2"/>
      <c r="H20" s="2"/>
      <c r="I20" s="2"/>
      <c r="J20" s="2"/>
      <c r="K20" s="2"/>
      <c r="L20" s="2"/>
      <c r="M20" s="2"/>
      <c r="N20" s="2">
        <f t="shared" si="1"/>
        <v>0</v>
      </c>
    </row>
    <row r="21" spans="1:14" x14ac:dyDescent="0.25">
      <c r="A21" s="2">
        <f t="shared" si="0"/>
        <v>20</v>
      </c>
      <c r="B21" s="2">
        <v>1405</v>
      </c>
      <c r="C21" s="2" t="s">
        <v>54</v>
      </c>
      <c r="D21" s="2">
        <v>3</v>
      </c>
      <c r="E21" s="2"/>
      <c r="F21" s="2"/>
      <c r="G21" s="2"/>
      <c r="H21" s="2"/>
      <c r="I21" s="2"/>
      <c r="J21" s="2"/>
      <c r="K21" s="2"/>
      <c r="L21" s="2"/>
      <c r="M21" s="2"/>
      <c r="N21" s="2">
        <f t="shared" si="1"/>
        <v>0</v>
      </c>
    </row>
    <row r="22" spans="1:14" x14ac:dyDescent="0.25">
      <c r="A22" s="2">
        <f t="shared" si="0"/>
        <v>21</v>
      </c>
      <c r="B22" s="2">
        <v>1405</v>
      </c>
      <c r="C22" s="2" t="s">
        <v>54</v>
      </c>
      <c r="D22" s="2">
        <v>4</v>
      </c>
      <c r="E22" s="2"/>
      <c r="F22" s="2"/>
      <c r="G22" s="2"/>
      <c r="H22" s="2"/>
      <c r="I22" s="2"/>
      <c r="J22" s="2"/>
      <c r="K22" s="2"/>
      <c r="L22" s="2"/>
      <c r="M22" s="2"/>
      <c r="N22" s="2">
        <f t="shared" si="1"/>
        <v>0</v>
      </c>
    </row>
    <row r="23" spans="1:14" x14ac:dyDescent="0.25">
      <c r="A23" s="2">
        <f t="shared" si="0"/>
        <v>22</v>
      </c>
      <c r="B23" s="2">
        <v>1405</v>
      </c>
      <c r="C23" s="2" t="s">
        <v>54</v>
      </c>
      <c r="D23" s="2">
        <v>4</v>
      </c>
      <c r="E23" s="2"/>
      <c r="F23" s="2"/>
      <c r="G23" s="2"/>
      <c r="H23" s="2"/>
      <c r="I23" s="2"/>
      <c r="J23" s="2"/>
      <c r="K23" s="2"/>
      <c r="L23" s="2"/>
      <c r="M23" s="2"/>
      <c r="N23" s="2">
        <f t="shared" si="1"/>
        <v>0</v>
      </c>
    </row>
    <row r="24" spans="1:14" x14ac:dyDescent="0.25">
      <c r="A24" s="2">
        <f t="shared" si="0"/>
        <v>23</v>
      </c>
      <c r="B24" s="2">
        <v>1405</v>
      </c>
      <c r="C24" s="2" t="s">
        <v>54</v>
      </c>
      <c r="D24" s="2">
        <v>4</v>
      </c>
      <c r="E24" s="2"/>
      <c r="F24" s="2"/>
      <c r="G24" s="2"/>
      <c r="H24" s="2"/>
      <c r="I24" s="2"/>
      <c r="J24" s="2"/>
      <c r="K24" s="2"/>
      <c r="L24" s="2"/>
      <c r="M24" s="2"/>
      <c r="N24" s="2">
        <f t="shared" si="1"/>
        <v>0</v>
      </c>
    </row>
    <row r="25" spans="1:14" x14ac:dyDescent="0.25">
      <c r="A25" s="2">
        <f t="shared" si="0"/>
        <v>24</v>
      </c>
      <c r="B25" s="2">
        <v>1405</v>
      </c>
      <c r="C25" s="2" t="s">
        <v>54</v>
      </c>
      <c r="D25" s="2">
        <v>4</v>
      </c>
      <c r="E25" s="2"/>
      <c r="F25" s="2"/>
      <c r="G25" s="2"/>
      <c r="H25" s="2"/>
      <c r="I25" s="2"/>
      <c r="J25" s="2"/>
      <c r="K25" s="2"/>
      <c r="L25" s="2"/>
      <c r="M25" s="2"/>
      <c r="N25" s="2">
        <f t="shared" si="1"/>
        <v>0</v>
      </c>
    </row>
    <row r="26" spans="1:14" x14ac:dyDescent="0.25">
      <c r="A26" s="2">
        <f t="shared" si="0"/>
        <v>25</v>
      </c>
      <c r="B26" s="2">
        <v>1405</v>
      </c>
      <c r="C26" s="2" t="s">
        <v>54</v>
      </c>
      <c r="D26" s="2">
        <v>4</v>
      </c>
      <c r="E26" s="2"/>
      <c r="F26" s="2"/>
      <c r="G26" s="2"/>
      <c r="H26" s="2"/>
      <c r="I26" s="2"/>
      <c r="J26" s="2"/>
      <c r="K26" s="2"/>
      <c r="L26" s="2"/>
      <c r="M26" s="2"/>
      <c r="N26" s="2">
        <f t="shared" si="1"/>
        <v>0</v>
      </c>
    </row>
    <row r="27" spans="1:14" x14ac:dyDescent="0.25">
      <c r="A27" s="2">
        <f t="shared" si="0"/>
        <v>26</v>
      </c>
      <c r="B27" s="2">
        <v>1405</v>
      </c>
      <c r="C27" s="2" t="s">
        <v>54</v>
      </c>
      <c r="D27" s="2">
        <v>4</v>
      </c>
      <c r="E27" s="2"/>
      <c r="F27" s="2"/>
      <c r="G27" s="2"/>
      <c r="H27" s="2"/>
      <c r="I27" s="2"/>
      <c r="J27" s="2"/>
      <c r="K27" s="2"/>
      <c r="L27" s="2"/>
      <c r="M27" s="2"/>
      <c r="N27" s="2">
        <f t="shared" si="1"/>
        <v>0</v>
      </c>
    </row>
    <row r="28" spans="1:14" x14ac:dyDescent="0.25">
      <c r="A28" s="2">
        <f t="shared" si="0"/>
        <v>27</v>
      </c>
      <c r="B28" s="2">
        <v>1405</v>
      </c>
      <c r="C28" s="2" t="s">
        <v>54</v>
      </c>
      <c r="D28" s="2">
        <v>4</v>
      </c>
      <c r="E28" s="2"/>
      <c r="F28" s="2"/>
      <c r="G28" s="2"/>
      <c r="H28" s="2"/>
      <c r="I28" s="2"/>
      <c r="J28" s="2"/>
      <c r="K28" s="2"/>
      <c r="L28" s="2"/>
      <c r="M28" s="2"/>
      <c r="N28" s="2">
        <f t="shared" si="1"/>
        <v>0</v>
      </c>
    </row>
    <row r="29" spans="1:14" x14ac:dyDescent="0.25">
      <c r="A29" s="2">
        <f t="shared" si="0"/>
        <v>28</v>
      </c>
      <c r="B29" s="2">
        <v>1405</v>
      </c>
      <c r="C29" s="2" t="s">
        <v>54</v>
      </c>
      <c r="D29" s="2">
        <v>4</v>
      </c>
      <c r="E29" s="2"/>
      <c r="F29" s="2"/>
      <c r="G29" s="2"/>
      <c r="H29" s="2"/>
      <c r="I29" s="2"/>
      <c r="J29" s="2"/>
      <c r="K29" s="2"/>
      <c r="L29" s="2"/>
      <c r="M29" s="2"/>
      <c r="N29" s="2">
        <f t="shared" si="1"/>
        <v>0</v>
      </c>
    </row>
    <row r="30" spans="1:14" x14ac:dyDescent="0.25">
      <c r="A30" s="2">
        <f t="shared" si="0"/>
        <v>29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>
        <f t="shared" si="1"/>
        <v>0</v>
      </c>
    </row>
    <row r="31" spans="1:14" x14ac:dyDescent="0.25">
      <c r="A31" s="2">
        <f t="shared" si="0"/>
        <v>30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>
        <f t="shared" si="1"/>
        <v>0</v>
      </c>
    </row>
    <row r="32" spans="1:14" x14ac:dyDescent="0.25">
      <c r="A32" s="2">
        <f t="shared" si="0"/>
        <v>31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>
        <f t="shared" si="1"/>
        <v>0</v>
      </c>
    </row>
    <row r="33" spans="1:14" x14ac:dyDescent="0.25">
      <c r="A33" s="2">
        <f t="shared" si="0"/>
        <v>32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>
        <f t="shared" si="1"/>
        <v>0</v>
      </c>
    </row>
    <row r="34" spans="1:14" x14ac:dyDescent="0.25">
      <c r="A34" s="2">
        <f t="shared" si="0"/>
        <v>33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>
        <f t="shared" si="1"/>
        <v>0</v>
      </c>
    </row>
    <row r="35" spans="1:14" x14ac:dyDescent="0.25">
      <c r="A35" s="2">
        <f t="shared" si="0"/>
        <v>34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>
        <f t="shared" si="1"/>
        <v>0</v>
      </c>
    </row>
    <row r="36" spans="1:14" x14ac:dyDescent="0.25">
      <c r="A36" s="2">
        <f t="shared" si="0"/>
        <v>35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>
        <f t="shared" si="1"/>
        <v>0</v>
      </c>
    </row>
    <row r="37" spans="1:14" x14ac:dyDescent="0.25">
      <c r="A37" s="2">
        <f t="shared" si="0"/>
        <v>36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>
        <f t="shared" si="1"/>
        <v>0</v>
      </c>
    </row>
    <row r="38" spans="1:14" x14ac:dyDescent="0.25">
      <c r="A38" s="2">
        <f t="shared" si="0"/>
        <v>37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>
        <f t="shared" si="1"/>
        <v>0</v>
      </c>
    </row>
    <row r="39" spans="1:14" x14ac:dyDescent="0.25">
      <c r="A39" s="2">
        <f t="shared" si="0"/>
        <v>38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>
        <f t="shared" si="1"/>
        <v>0</v>
      </c>
    </row>
    <row r="40" spans="1:14" x14ac:dyDescent="0.25">
      <c r="A40" s="2">
        <f t="shared" si="0"/>
        <v>39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>
        <f t="shared" si="1"/>
        <v>0</v>
      </c>
    </row>
    <row r="41" spans="1:14" x14ac:dyDescent="0.25">
      <c r="A41" s="2">
        <f t="shared" si="0"/>
        <v>40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>
        <f t="shared" si="1"/>
        <v>0</v>
      </c>
    </row>
    <row r="42" spans="1:14" x14ac:dyDescent="0.25">
      <c r="A42" s="2">
        <f t="shared" si="0"/>
        <v>41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>
        <f t="shared" si="1"/>
        <v>0</v>
      </c>
    </row>
    <row r="43" spans="1:14" x14ac:dyDescent="0.25">
      <c r="A43" s="2">
        <f t="shared" si="0"/>
        <v>42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>
        <f t="shared" si="1"/>
        <v>0</v>
      </c>
    </row>
    <row r="44" spans="1:14" x14ac:dyDescent="0.25">
      <c r="A44" s="2">
        <f t="shared" si="0"/>
        <v>43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>
        <f t="shared" si="1"/>
        <v>0</v>
      </c>
    </row>
    <row r="45" spans="1:14" x14ac:dyDescent="0.25">
      <c r="A45" s="2">
        <f t="shared" si="0"/>
        <v>44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>
        <f t="shared" si="1"/>
        <v>0</v>
      </c>
    </row>
    <row r="46" spans="1:14" x14ac:dyDescent="0.25">
      <c r="A46" s="2">
        <f t="shared" si="0"/>
        <v>45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>
        <f t="shared" si="1"/>
        <v>0</v>
      </c>
    </row>
    <row r="47" spans="1:14" x14ac:dyDescent="0.25">
      <c r="A47" s="2">
        <f t="shared" si="0"/>
        <v>46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>
        <f t="shared" si="1"/>
        <v>0</v>
      </c>
    </row>
    <row r="48" spans="1:14" x14ac:dyDescent="0.25">
      <c r="A48" s="2">
        <f t="shared" si="0"/>
        <v>47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>
        <f t="shared" si="1"/>
        <v>0</v>
      </c>
    </row>
    <row r="49" spans="1:14" x14ac:dyDescent="0.25">
      <c r="A49" s="2">
        <f t="shared" si="0"/>
        <v>48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>
        <f t="shared" si="1"/>
        <v>0</v>
      </c>
    </row>
    <row r="50" spans="1:14" x14ac:dyDescent="0.25">
      <c r="A50" s="2">
        <f t="shared" si="0"/>
        <v>49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>
        <f t="shared" si="1"/>
        <v>0</v>
      </c>
    </row>
    <row r="51" spans="1:14" x14ac:dyDescent="0.25">
      <c r="A51" s="2">
        <f t="shared" si="0"/>
        <v>50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>
        <f t="shared" si="1"/>
        <v>0</v>
      </c>
    </row>
    <row r="52" spans="1:14" x14ac:dyDescent="0.25">
      <c r="A52" s="2">
        <f t="shared" si="0"/>
        <v>51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>
        <f t="shared" si="1"/>
        <v>0</v>
      </c>
    </row>
    <row r="53" spans="1:14" x14ac:dyDescent="0.25">
      <c r="A53" s="2">
        <f t="shared" si="0"/>
        <v>52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>
        <f t="shared" si="1"/>
        <v>0</v>
      </c>
    </row>
    <row r="54" spans="1:14" x14ac:dyDescent="0.25">
      <c r="A54" s="2">
        <f t="shared" si="0"/>
        <v>53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>
        <f t="shared" si="1"/>
        <v>0</v>
      </c>
    </row>
    <row r="55" spans="1:14" x14ac:dyDescent="0.25">
      <c r="A55" s="2">
        <f t="shared" si="0"/>
        <v>54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>
        <f t="shared" si="1"/>
        <v>0</v>
      </c>
    </row>
    <row r="56" spans="1:14" x14ac:dyDescent="0.25">
      <c r="A56" s="2">
        <f t="shared" si="0"/>
        <v>55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>
        <f t="shared" si="1"/>
        <v>0</v>
      </c>
    </row>
    <row r="57" spans="1:14" x14ac:dyDescent="0.25">
      <c r="A57" s="2">
        <f t="shared" si="0"/>
        <v>56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>
        <f t="shared" si="1"/>
        <v>0</v>
      </c>
    </row>
    <row r="58" spans="1:14" x14ac:dyDescent="0.25">
      <c r="A58" s="2">
        <f t="shared" si="0"/>
        <v>57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>
        <f t="shared" si="1"/>
        <v>0</v>
      </c>
    </row>
    <row r="59" spans="1:14" x14ac:dyDescent="0.25">
      <c r="A59" s="2">
        <f t="shared" si="0"/>
        <v>58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>
        <f t="shared" si="1"/>
        <v>0</v>
      </c>
    </row>
    <row r="60" spans="1:14" x14ac:dyDescent="0.25">
      <c r="A60" s="2">
        <f t="shared" si="0"/>
        <v>59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>
        <f t="shared" si="1"/>
        <v>0</v>
      </c>
    </row>
    <row r="61" spans="1:14" x14ac:dyDescent="0.25">
      <c r="A61" s="2">
        <f t="shared" si="0"/>
        <v>60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>
        <f t="shared" si="1"/>
        <v>0</v>
      </c>
    </row>
    <row r="62" spans="1:14" x14ac:dyDescent="0.25">
      <c r="A62" s="2">
        <f t="shared" si="0"/>
        <v>61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>
        <f t="shared" si="1"/>
        <v>0</v>
      </c>
    </row>
    <row r="63" spans="1:14" x14ac:dyDescent="0.25">
      <c r="A63" s="2">
        <f t="shared" ref="A63:A105" si="2">ROW(A63)-1</f>
        <v>62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>
        <f t="shared" ref="N63:N105" si="3">((F63*2)+(G63*2)+(H63*2)+(I63*2)+(J63)+(K63*4)+(L63)+(M63))/15</f>
        <v>0</v>
      </c>
    </row>
    <row r="64" spans="1:14" x14ac:dyDescent="0.25">
      <c r="A64" s="2">
        <f t="shared" si="2"/>
        <v>63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>
        <f t="shared" si="3"/>
        <v>0</v>
      </c>
    </row>
    <row r="65" spans="1:14" x14ac:dyDescent="0.25">
      <c r="A65" s="2">
        <f t="shared" si="2"/>
        <v>64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>
        <f t="shared" si="3"/>
        <v>0</v>
      </c>
    </row>
    <row r="66" spans="1:14" x14ac:dyDescent="0.25">
      <c r="A66" s="2">
        <f t="shared" si="2"/>
        <v>65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>
        <f t="shared" si="3"/>
        <v>0</v>
      </c>
    </row>
    <row r="67" spans="1:14" x14ac:dyDescent="0.25">
      <c r="A67" s="2">
        <f t="shared" si="2"/>
        <v>66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>
        <f t="shared" si="3"/>
        <v>0</v>
      </c>
    </row>
    <row r="68" spans="1:14" x14ac:dyDescent="0.25">
      <c r="A68" s="2">
        <f t="shared" si="2"/>
        <v>67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>
        <f t="shared" si="3"/>
        <v>0</v>
      </c>
    </row>
    <row r="69" spans="1:14" x14ac:dyDescent="0.25">
      <c r="A69" s="2">
        <f t="shared" si="2"/>
        <v>68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>
        <f t="shared" si="3"/>
        <v>0</v>
      </c>
    </row>
    <row r="70" spans="1:14" x14ac:dyDescent="0.25">
      <c r="A70" s="2">
        <f t="shared" si="2"/>
        <v>69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>
        <f t="shared" si="3"/>
        <v>0</v>
      </c>
    </row>
    <row r="71" spans="1:14" x14ac:dyDescent="0.25">
      <c r="A71" s="2">
        <f t="shared" si="2"/>
        <v>70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>
        <f t="shared" si="3"/>
        <v>0</v>
      </c>
    </row>
    <row r="72" spans="1:14" x14ac:dyDescent="0.25">
      <c r="A72" s="2">
        <f t="shared" si="2"/>
        <v>71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>
        <f t="shared" si="3"/>
        <v>0</v>
      </c>
    </row>
    <row r="73" spans="1:14" x14ac:dyDescent="0.25">
      <c r="A73" s="2">
        <f t="shared" si="2"/>
        <v>72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>
        <f t="shared" si="3"/>
        <v>0</v>
      </c>
    </row>
    <row r="74" spans="1:14" x14ac:dyDescent="0.25">
      <c r="A74" s="2">
        <f t="shared" si="2"/>
        <v>73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>
        <f t="shared" si="3"/>
        <v>0</v>
      </c>
    </row>
    <row r="75" spans="1:14" x14ac:dyDescent="0.25">
      <c r="A75" s="2">
        <f t="shared" si="2"/>
        <v>74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>
        <f t="shared" si="3"/>
        <v>0</v>
      </c>
    </row>
    <row r="76" spans="1:14" x14ac:dyDescent="0.25">
      <c r="A76" s="2">
        <f t="shared" si="2"/>
        <v>75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>
        <f t="shared" si="3"/>
        <v>0</v>
      </c>
    </row>
    <row r="77" spans="1:14" x14ac:dyDescent="0.25">
      <c r="A77" s="2">
        <f t="shared" si="2"/>
        <v>76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>
        <f t="shared" si="3"/>
        <v>0</v>
      </c>
    </row>
    <row r="78" spans="1:14" x14ac:dyDescent="0.25">
      <c r="A78" s="2">
        <f t="shared" si="2"/>
        <v>77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>
        <f t="shared" si="3"/>
        <v>0</v>
      </c>
    </row>
    <row r="79" spans="1:14" x14ac:dyDescent="0.25">
      <c r="A79" s="2">
        <f t="shared" si="2"/>
        <v>78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>
        <f t="shared" si="3"/>
        <v>0</v>
      </c>
    </row>
    <row r="80" spans="1:14" x14ac:dyDescent="0.25">
      <c r="A80" s="2">
        <f t="shared" si="2"/>
        <v>79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>
        <f t="shared" si="3"/>
        <v>0</v>
      </c>
    </row>
    <row r="81" spans="1:14" x14ac:dyDescent="0.25">
      <c r="A81" s="2">
        <f t="shared" si="2"/>
        <v>80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>
        <f t="shared" si="3"/>
        <v>0</v>
      </c>
    </row>
    <row r="82" spans="1:14" x14ac:dyDescent="0.25">
      <c r="A82" s="2">
        <f t="shared" si="2"/>
        <v>81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>
        <f t="shared" si="3"/>
        <v>0</v>
      </c>
    </row>
    <row r="83" spans="1:14" x14ac:dyDescent="0.25">
      <c r="A83" s="2">
        <f t="shared" si="2"/>
        <v>82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>
        <f t="shared" si="3"/>
        <v>0</v>
      </c>
    </row>
    <row r="84" spans="1:14" x14ac:dyDescent="0.25">
      <c r="A84" s="2">
        <f t="shared" si="2"/>
        <v>83</v>
      </c>
      <c r="B84" s="2"/>
      <c r="C84" s="2"/>
      <c r="D84" s="2"/>
      <c r="F84" s="2"/>
      <c r="G84" s="2"/>
      <c r="H84" s="2"/>
      <c r="I84" s="2"/>
      <c r="J84" s="2"/>
      <c r="K84" s="2"/>
      <c r="L84" s="2"/>
      <c r="M84" s="2"/>
      <c r="N84" s="2">
        <f t="shared" si="3"/>
        <v>0</v>
      </c>
    </row>
    <row r="85" spans="1:14" x14ac:dyDescent="0.25">
      <c r="A85" s="2">
        <f t="shared" si="2"/>
        <v>84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>
        <f t="shared" si="3"/>
        <v>0</v>
      </c>
    </row>
    <row r="86" spans="1:14" x14ac:dyDescent="0.25">
      <c r="A86" s="2">
        <f t="shared" si="2"/>
        <v>85</v>
      </c>
      <c r="B86" s="2"/>
      <c r="C86" s="2"/>
      <c r="D86" s="2"/>
      <c r="F86" s="2"/>
      <c r="G86" s="2"/>
      <c r="H86" s="2"/>
      <c r="I86" s="2"/>
      <c r="J86" s="2"/>
      <c r="K86" s="2"/>
      <c r="L86" s="2"/>
      <c r="M86" s="2"/>
      <c r="N86" s="2">
        <f t="shared" si="3"/>
        <v>0</v>
      </c>
    </row>
    <row r="87" spans="1:14" x14ac:dyDescent="0.25">
      <c r="A87" s="2">
        <f t="shared" si="2"/>
        <v>86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>
        <f t="shared" si="3"/>
        <v>0</v>
      </c>
    </row>
    <row r="88" spans="1:14" x14ac:dyDescent="0.25">
      <c r="A88" s="2">
        <f t="shared" si="2"/>
        <v>87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>
        <f t="shared" si="3"/>
        <v>0</v>
      </c>
    </row>
    <row r="89" spans="1:14" x14ac:dyDescent="0.25">
      <c r="A89" s="2">
        <f t="shared" si="2"/>
        <v>88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>
        <f t="shared" si="3"/>
        <v>0</v>
      </c>
    </row>
    <row r="90" spans="1:14" x14ac:dyDescent="0.25">
      <c r="A90" s="2">
        <v>93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>
        <f t="shared" si="3"/>
        <v>0</v>
      </c>
    </row>
    <row r="91" spans="1:14" x14ac:dyDescent="0.25">
      <c r="A91" s="2">
        <f t="shared" si="2"/>
        <v>90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>
        <f t="shared" si="3"/>
        <v>0</v>
      </c>
    </row>
    <row r="92" spans="1:14" x14ac:dyDescent="0.25">
      <c r="A92" s="2">
        <f t="shared" si="2"/>
        <v>91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>
        <f t="shared" si="3"/>
        <v>0</v>
      </c>
    </row>
    <row r="93" spans="1:14" x14ac:dyDescent="0.25">
      <c r="A93" s="2">
        <f t="shared" si="2"/>
        <v>92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>
        <f t="shared" si="3"/>
        <v>0</v>
      </c>
    </row>
    <row r="94" spans="1:14" x14ac:dyDescent="0.25">
      <c r="A94" s="2">
        <f t="shared" si="2"/>
        <v>93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>
        <f t="shared" si="3"/>
        <v>0</v>
      </c>
    </row>
    <row r="95" spans="1:14" x14ac:dyDescent="0.25">
      <c r="A95" s="2">
        <f t="shared" si="2"/>
        <v>94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>
        <f t="shared" si="3"/>
        <v>0</v>
      </c>
    </row>
    <row r="96" spans="1:14" x14ac:dyDescent="0.25">
      <c r="A96" s="2">
        <f t="shared" si="2"/>
        <v>95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>
        <f t="shared" si="3"/>
        <v>0</v>
      </c>
    </row>
    <row r="97" spans="1:14" x14ac:dyDescent="0.25">
      <c r="A97" s="2">
        <f t="shared" si="2"/>
        <v>96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>
        <f t="shared" si="3"/>
        <v>0</v>
      </c>
    </row>
    <row r="98" spans="1:14" x14ac:dyDescent="0.25">
      <c r="A98" s="2">
        <f t="shared" si="2"/>
        <v>97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>
        <f t="shared" si="3"/>
        <v>0</v>
      </c>
    </row>
    <row r="99" spans="1:14" x14ac:dyDescent="0.25">
      <c r="A99" s="2">
        <f t="shared" si="2"/>
        <v>98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>
        <f t="shared" si="3"/>
        <v>0</v>
      </c>
    </row>
    <row r="100" spans="1:14" x14ac:dyDescent="0.25">
      <c r="A100" s="2">
        <f t="shared" si="2"/>
        <v>99</v>
      </c>
      <c r="B100" s="2"/>
      <c r="C100" s="2"/>
      <c r="D100" s="2"/>
      <c r="E100" s="2"/>
      <c r="F100" s="12"/>
      <c r="G100" s="12"/>
      <c r="H100" s="12"/>
      <c r="I100" s="12"/>
      <c r="J100" s="12"/>
      <c r="K100" s="12"/>
      <c r="L100" s="12"/>
      <c r="M100" s="12"/>
      <c r="N100" s="2">
        <f t="shared" si="3"/>
        <v>0</v>
      </c>
    </row>
    <row r="101" spans="1:14" x14ac:dyDescent="0.25">
      <c r="A101" s="2">
        <f t="shared" si="2"/>
        <v>100</v>
      </c>
      <c r="B101" s="2"/>
      <c r="C101" s="2"/>
      <c r="D101" s="2"/>
      <c r="E101" s="2"/>
      <c r="F101" s="12"/>
      <c r="G101" s="12"/>
      <c r="H101" s="12"/>
      <c r="I101" s="12"/>
      <c r="J101" s="12"/>
      <c r="K101" s="12"/>
      <c r="L101" s="12"/>
      <c r="M101" s="12"/>
      <c r="N101" s="2">
        <f t="shared" si="3"/>
        <v>0</v>
      </c>
    </row>
    <row r="102" spans="1:14" x14ac:dyDescent="0.25">
      <c r="A102" s="2">
        <f t="shared" si="2"/>
        <v>101</v>
      </c>
      <c r="B102" s="2"/>
      <c r="C102" s="2"/>
      <c r="D102" s="2"/>
      <c r="E102" s="2"/>
      <c r="F102" s="12"/>
      <c r="G102" s="12"/>
      <c r="H102" s="12"/>
      <c r="I102" s="12"/>
      <c r="J102" s="12"/>
      <c r="K102" s="12"/>
      <c r="L102" s="12"/>
      <c r="M102" s="12"/>
      <c r="N102" s="2">
        <f t="shared" si="3"/>
        <v>0</v>
      </c>
    </row>
    <row r="103" spans="1:14" x14ac:dyDescent="0.25">
      <c r="A103" s="2">
        <f t="shared" si="2"/>
        <v>102</v>
      </c>
      <c r="B103" s="2"/>
      <c r="C103" s="2"/>
      <c r="D103" s="2"/>
      <c r="E103" s="2"/>
      <c r="F103" s="12"/>
      <c r="G103" s="12"/>
      <c r="H103" s="12"/>
      <c r="I103" s="12"/>
      <c r="J103" s="12"/>
      <c r="K103" s="12"/>
      <c r="L103" s="12"/>
      <c r="M103" s="12"/>
      <c r="N103" s="2">
        <f t="shared" si="3"/>
        <v>0</v>
      </c>
    </row>
    <row r="104" spans="1:14" x14ac:dyDescent="0.25">
      <c r="A104" s="2">
        <f t="shared" si="2"/>
        <v>103</v>
      </c>
      <c r="B104" s="2"/>
      <c r="C104" s="2"/>
      <c r="D104" s="2"/>
      <c r="E104" s="2"/>
      <c r="F104" s="12"/>
      <c r="G104" s="12"/>
      <c r="H104" s="12"/>
      <c r="I104" s="12"/>
      <c r="J104" s="12"/>
      <c r="K104" s="12"/>
      <c r="L104" s="12"/>
      <c r="M104" s="12"/>
      <c r="N104" s="2">
        <f t="shared" si="3"/>
        <v>0</v>
      </c>
    </row>
    <row r="105" spans="1:14" x14ac:dyDescent="0.25">
      <c r="A105" s="2">
        <f t="shared" si="2"/>
        <v>104</v>
      </c>
      <c r="B105" s="2"/>
      <c r="C105" s="2"/>
      <c r="D105" s="2"/>
      <c r="E105" s="2"/>
      <c r="F105" s="12"/>
      <c r="G105" s="12"/>
      <c r="H105" s="12"/>
      <c r="I105" s="12"/>
      <c r="J105" s="12"/>
      <c r="K105" s="12"/>
      <c r="L105" s="12"/>
      <c r="M105" s="12"/>
      <c r="N105" s="2">
        <f t="shared" si="3"/>
        <v>0</v>
      </c>
    </row>
  </sheetData>
  <pageMargins left="0.25" right="0.25" top="0.75" bottom="0.75" header="0.3" footer="0.3"/>
  <pageSetup paperSize="9" scale="99" fitToHeight="0" orientation="landscape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FE4319D-D165-4DA2-9095-83EC2423CF8F}">
          <x14:formula1>
            <xm:f>مرجع!$C$2:$C$5</xm:f>
          </x14:formula1>
          <xm:sqref>B30:B1048576</xm:sqref>
        </x14:dataValidation>
        <x14:dataValidation type="list" allowBlank="1" showInputMessage="1" showErrorMessage="1" xr:uid="{C98F3C76-7AC3-4516-9F8D-AF6D54CCB69B}">
          <x14:formula1>
            <xm:f>مرجع!$F$2:$F$13</xm:f>
          </x14:formula1>
          <xm:sqref>C30:C1048576</xm:sqref>
        </x14:dataValidation>
        <x14:dataValidation type="list" allowBlank="1" showInputMessage="1" showErrorMessage="1" xr:uid="{861F4755-C689-47AB-A7C8-AACB9F548C36}">
          <x14:formula1>
            <xm:f>مرجع!$D$2:$D$6</xm:f>
          </x14:formula1>
          <xm:sqref>D30:D1048576</xm:sqref>
        </x14:dataValidation>
        <x14:dataValidation type="list" allowBlank="1" showInputMessage="1" showErrorMessage="1" xr:uid="{56824348-9D10-4D10-90D6-DBA00DD35D2D}">
          <x14:formula1>
            <xm:f>مرجع!$X$2:$X$7</xm:f>
          </x14:formula1>
          <xm:sqref>E12:E1048576</xm:sqref>
        </x14:dataValidation>
        <x14:dataValidation type="list" allowBlank="1" showInputMessage="1" showErrorMessage="1" xr:uid="{1AA16D6C-940D-42D7-8F74-1CBD06527C72}">
          <x14:formula1>
            <xm:f>مرجع!$AE$2:$AE$6</xm:f>
          </x14:formula1>
          <xm:sqref>F2:M1048576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مترجم</vt:lpstr>
      <vt:lpstr>مرجع</vt:lpstr>
      <vt:lpstr>سالن</vt:lpstr>
      <vt:lpstr>کال سنتر</vt:lpstr>
      <vt:lpstr>صندوق</vt:lpstr>
      <vt:lpstr>آشپزخانه</vt:lpstr>
      <vt:lpstr>تولید</vt:lpstr>
      <vt:lpstr>آشپزخانه!Print_Area</vt:lpstr>
      <vt:lpstr>تولید!Print_Area</vt:lpstr>
      <vt:lpstr>سالن!Print_Area</vt:lpstr>
      <vt:lpstr>صندوق!Print_Area</vt:lpstr>
      <vt:lpstr>'کال سنتر'!Print_Area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sajjad ashraf</dc:creator>
  <cp:lastModifiedBy>User</cp:lastModifiedBy>
  <cp:lastPrinted>2026-08-25T11:42:48Z</cp:lastPrinted>
  <dcterms:created xsi:type="dcterms:W3CDTF">2026-08-19T12:17:16Z</dcterms:created>
  <dcterms:modified xsi:type="dcterms:W3CDTF">2026-09-12T20:24:38Z</dcterms:modified>
</cp:coreProperties>
</file>