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بزرگوار اشرف\ارزیابی های جدید\"/>
    </mc:Choice>
  </mc:AlternateContent>
  <xr:revisionPtr revIDLastSave="0" documentId="13_ncr:1_{62447435-09D6-415D-8EE3-91E170B97428}" xr6:coauthVersionLast="47" xr6:coauthVersionMax="47" xr10:uidLastSave="{00000000-0000-0000-0000-000000000000}"/>
  <bookViews>
    <workbookView xWindow="-98" yWindow="-98" windowWidth="20715" windowHeight="13276" firstSheet="2" activeTab="5" xr2:uid="{00000000-000D-0000-FFFF-FFFF00000000}"/>
  </bookViews>
  <sheets>
    <sheet name="مترجم" sheetId="13" r:id="rId1"/>
    <sheet name="مرجع" sheetId="1" r:id="rId2"/>
    <sheet name="سالن" sheetId="2" r:id="rId3"/>
    <sheet name="کال سنتر" sheetId="3" r:id="rId4"/>
    <sheet name="صندوق" sheetId="4" r:id="rId5"/>
    <sheet name="آشپزخانه" sheetId="5" r:id="rId6"/>
    <sheet name="تولید" sheetId="7" r:id="rId7"/>
    <sheet name="کانتر سالن(پاداش)" sheetId="9" r:id="rId8"/>
    <sheet name="کانتر ارسال(پاداش)" sheetId="8" r:id="rId9"/>
    <sheet name="سرپیک ( پاداش )" sheetId="10" r:id="rId10"/>
    <sheet name="سراپراتور ( پاداش )" sheetId="12" r:id="rId11"/>
  </sheets>
  <definedNames>
    <definedName name="_xlnm._FilterDatabase" localSheetId="5" hidden="1">آشپزخانه!$A$1:$L$796</definedName>
    <definedName name="_xlnm._FilterDatabase" localSheetId="6" hidden="1">تولید!$A$1:$L$100</definedName>
    <definedName name="_xlnm._FilterDatabase" localSheetId="2" hidden="1">سالن!$A$1:$V$184</definedName>
    <definedName name="_xlnm._FilterDatabase" localSheetId="4" hidden="1">صندوق!$A$1:$K$126</definedName>
    <definedName name="_xlnm._FilterDatabase" localSheetId="3" hidden="1">'کال سنتر'!$A$1:$K$109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5" l="1"/>
  <c r="J13" i="2"/>
  <c r="J14" i="2"/>
  <c r="J15" i="2"/>
  <c r="J16" i="2"/>
  <c r="J17" i="2"/>
  <c r="J18" i="2"/>
  <c r="J19" i="2"/>
  <c r="J20" i="2"/>
  <c r="J12" i="2"/>
  <c r="L2" i="7" l="1"/>
  <c r="L3" i="7"/>
  <c r="L4" i="7"/>
  <c r="L5" i="7"/>
  <c r="L9" i="7"/>
  <c r="L7" i="7"/>
  <c r="L11" i="7"/>
  <c r="L10" i="7"/>
  <c r="L8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6" i="7"/>
  <c r="L9" i="5"/>
  <c r="L4" i="5"/>
  <c r="L7" i="5"/>
  <c r="L6" i="5"/>
  <c r="L2" i="5"/>
  <c r="L8" i="5"/>
  <c r="L3" i="5"/>
  <c r="L10" i="5"/>
  <c r="L14" i="5"/>
  <c r="L15" i="5"/>
  <c r="L11" i="5"/>
  <c r="L16" i="5"/>
  <c r="L17" i="5"/>
  <c r="L19" i="5"/>
  <c r="L18" i="5"/>
  <c r="L13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5" i="5"/>
  <c r="K3" i="4"/>
  <c r="K4" i="4"/>
  <c r="K5" i="4"/>
  <c r="K8" i="4"/>
  <c r="K7" i="4"/>
  <c r="K6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2" i="4"/>
  <c r="K3" i="3"/>
  <c r="K4" i="3"/>
  <c r="K5" i="3"/>
  <c r="K7" i="3"/>
  <c r="K6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2" i="3"/>
  <c r="A6" i="2"/>
  <c r="A8" i="2"/>
  <c r="A5" i="2"/>
  <c r="A9" i="2"/>
  <c r="A7" i="2"/>
  <c r="A11" i="2"/>
  <c r="A2" i="2"/>
  <c r="A10" i="2"/>
  <c r="A4" i="2"/>
  <c r="A14" i="2"/>
  <c r="A15" i="2"/>
  <c r="A16" i="2"/>
  <c r="A12" i="2"/>
  <c r="A13" i="2"/>
  <c r="A19" i="2"/>
  <c r="A18" i="2"/>
  <c r="A17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3" i="2"/>
  <c r="A2" i="3"/>
  <c r="A3" i="3"/>
  <c r="A4" i="3"/>
  <c r="A5" i="3"/>
  <c r="A7" i="3"/>
  <c r="A6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J6" i="2"/>
  <c r="J8" i="2"/>
  <c r="J5" i="2"/>
  <c r="J9" i="2"/>
  <c r="J7" i="2"/>
  <c r="J11" i="2"/>
  <c r="J2" i="2"/>
  <c r="J10" i="2"/>
  <c r="J4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3" i="2"/>
  <c r="L305" i="10" l="1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275" i="10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D274" i="9"/>
  <c r="L274" i="9" s="1"/>
  <c r="D275" i="9"/>
  <c r="L275" i="9" s="1"/>
  <c r="D276" i="9"/>
  <c r="L276" i="9" s="1"/>
  <c r="D277" i="9"/>
  <c r="L277" i="9" s="1"/>
  <c r="D278" i="9"/>
  <c r="D279" i="9"/>
  <c r="L279" i="9" s="1"/>
  <c r="D280" i="9"/>
  <c r="L280" i="9" s="1"/>
  <c r="D281" i="9"/>
  <c r="D282" i="9"/>
  <c r="L282" i="9" s="1"/>
  <c r="D283" i="9"/>
  <c r="L283" i="9" s="1"/>
  <c r="D284" i="9"/>
  <c r="L284" i="9" s="1"/>
  <c r="D285" i="9"/>
  <c r="L285" i="9" s="1"/>
  <c r="D286" i="9"/>
  <c r="D287" i="9"/>
  <c r="L287" i="9" s="1"/>
  <c r="D288" i="9"/>
  <c r="L288" i="9" s="1"/>
  <c r="D289" i="9"/>
  <c r="L289" i="9" s="1"/>
  <c r="D290" i="9"/>
  <c r="L290" i="9" s="1"/>
  <c r="D291" i="9"/>
  <c r="D292" i="9"/>
  <c r="L292" i="9" s="1"/>
  <c r="D293" i="9"/>
  <c r="L293" i="9" s="1"/>
  <c r="D294" i="9"/>
  <c r="D295" i="9"/>
  <c r="L295" i="9" s="1"/>
  <c r="D296" i="9"/>
  <c r="L296" i="9" s="1"/>
  <c r="D297" i="9"/>
  <c r="L297" i="9" s="1"/>
  <c r="D298" i="9"/>
  <c r="L298" i="9" s="1"/>
  <c r="D299" i="9"/>
  <c r="L299" i="9" s="1"/>
  <c r="D300" i="9"/>
  <c r="L300" i="9" s="1"/>
  <c r="D301" i="9"/>
  <c r="L301" i="9" s="1"/>
  <c r="D302" i="9"/>
  <c r="L302" i="9" s="1"/>
  <c r="D303" i="9"/>
  <c r="L303" i="9" s="1"/>
  <c r="L278" i="9"/>
  <c r="L281" i="9"/>
  <c r="L286" i="9"/>
  <c r="L291" i="9"/>
  <c r="L294" i="9"/>
  <c r="A273" i="9"/>
  <c r="D273" i="9"/>
  <c r="L273" i="9" s="1"/>
  <c r="N285" i="10" l="1"/>
  <c r="N300" i="10"/>
  <c r="N284" i="10"/>
  <c r="N276" i="10"/>
  <c r="N305" i="10"/>
  <c r="N304" i="10"/>
  <c r="N288" i="10"/>
  <c r="N280" i="10"/>
  <c r="N301" i="10"/>
  <c r="N281" i="10"/>
  <c r="N289" i="10"/>
  <c r="N277" i="10"/>
  <c r="N297" i="10"/>
  <c r="N303" i="10"/>
  <c r="N299" i="10"/>
  <c r="N287" i="10"/>
  <c r="N283" i="10"/>
  <c r="N279" i="10"/>
  <c r="N275" i="10"/>
  <c r="N296" i="10"/>
  <c r="N295" i="10"/>
  <c r="N293" i="10"/>
  <c r="N292" i="10"/>
  <c r="N291" i="10"/>
  <c r="N302" i="10"/>
  <c r="N286" i="10"/>
  <c r="N298" i="10"/>
  <c r="N294" i="10"/>
  <c r="N290" i="10"/>
  <c r="N282" i="10"/>
  <c r="N278" i="10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D276" i="8"/>
  <c r="N276" i="8" s="1"/>
  <c r="D277" i="8"/>
  <c r="N277" i="8" s="1"/>
  <c r="D278" i="8"/>
  <c r="N278" i="8" s="1"/>
  <c r="D279" i="8"/>
  <c r="N279" i="8" s="1"/>
  <c r="D280" i="8"/>
  <c r="N280" i="8" s="1"/>
  <c r="D281" i="8"/>
  <c r="N281" i="8" s="1"/>
  <c r="D282" i="8"/>
  <c r="N282" i="8" s="1"/>
  <c r="D283" i="8"/>
  <c r="N283" i="8" s="1"/>
  <c r="D284" i="8"/>
  <c r="N284" i="8" s="1"/>
  <c r="D285" i="8"/>
  <c r="N285" i="8" s="1"/>
  <c r="D286" i="8"/>
  <c r="N286" i="8" s="1"/>
  <c r="D287" i="8"/>
  <c r="N287" i="8" s="1"/>
  <c r="D288" i="8"/>
  <c r="N288" i="8" s="1"/>
  <c r="D289" i="8"/>
  <c r="N289" i="8" s="1"/>
  <c r="D290" i="8"/>
  <c r="N290" i="8" s="1"/>
  <c r="D291" i="8"/>
  <c r="N291" i="8" s="1"/>
  <c r="D292" i="8"/>
  <c r="N292" i="8" s="1"/>
  <c r="D293" i="8"/>
  <c r="N293" i="8" s="1"/>
  <c r="D294" i="8"/>
  <c r="N294" i="8" s="1"/>
  <c r="D295" i="8"/>
  <c r="N295" i="8" s="1"/>
  <c r="D296" i="8"/>
  <c r="N296" i="8" s="1"/>
  <c r="D297" i="8"/>
  <c r="N297" i="8" s="1"/>
  <c r="D298" i="8"/>
  <c r="N298" i="8" s="1"/>
  <c r="D299" i="8"/>
  <c r="N299" i="8" s="1"/>
  <c r="D300" i="8"/>
  <c r="N300" i="8" s="1"/>
  <c r="D301" i="8"/>
  <c r="N301" i="8" s="1"/>
  <c r="D302" i="8"/>
  <c r="N302" i="8" s="1"/>
  <c r="D303" i="8"/>
  <c r="N303" i="8" s="1"/>
  <c r="D304" i="8"/>
  <c r="N304" i="8" s="1"/>
  <c r="D305" i="8"/>
  <c r="N305" i="8" s="1"/>
  <c r="A275" i="8"/>
  <c r="D275" i="8"/>
  <c r="N275" i="8" s="1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L254" i="9" s="1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A242" i="9"/>
  <c r="D242" i="9"/>
  <c r="F242" i="9"/>
  <c r="J242" i="9"/>
  <c r="F244" i="8"/>
  <c r="H244" i="8"/>
  <c r="J244" i="8"/>
  <c r="L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N268" i="8" s="1"/>
  <c r="J269" i="8"/>
  <c r="N269" i="8" s="1"/>
  <c r="J270" i="8"/>
  <c r="J271" i="8"/>
  <c r="J272" i="8"/>
  <c r="J273" i="8"/>
  <c r="J274" i="8"/>
  <c r="L245" i="8"/>
  <c r="L246" i="8"/>
  <c r="L247" i="8"/>
  <c r="N247" i="8" s="1"/>
  <c r="L248" i="8"/>
  <c r="L249" i="8"/>
  <c r="L250" i="8"/>
  <c r="L251" i="8"/>
  <c r="L252" i="8"/>
  <c r="L253" i="8"/>
  <c r="L254" i="8"/>
  <c r="N254" i="8" s="1"/>
  <c r="L255" i="8"/>
  <c r="N255" i="8" s="1"/>
  <c r="L256" i="8"/>
  <c r="L257" i="8"/>
  <c r="L258" i="8"/>
  <c r="L259" i="8"/>
  <c r="L260" i="8"/>
  <c r="L261" i="8"/>
  <c r="L262" i="8"/>
  <c r="N262" i="8" s="1"/>
  <c r="L263" i="8"/>
  <c r="N263" i="8" s="1"/>
  <c r="L264" i="8"/>
  <c r="L265" i="8"/>
  <c r="L266" i="8"/>
  <c r="L267" i="8"/>
  <c r="L268" i="8"/>
  <c r="L269" i="8"/>
  <c r="L270" i="8"/>
  <c r="L271" i="8"/>
  <c r="L272" i="8"/>
  <c r="L273" i="8"/>
  <c r="L274" i="8"/>
  <c r="A244" i="8"/>
  <c r="D244" i="8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F245" i="10"/>
  <c r="F246" i="10"/>
  <c r="F247" i="10"/>
  <c r="F248" i="10"/>
  <c r="F249" i="10"/>
  <c r="F250" i="10"/>
  <c r="F251" i="10"/>
  <c r="F252" i="10"/>
  <c r="F253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J245" i="10"/>
  <c r="J246" i="10"/>
  <c r="J247" i="10"/>
  <c r="J248" i="10"/>
  <c r="N248" i="10" s="1"/>
  <c r="J249" i="10"/>
  <c r="J250" i="10"/>
  <c r="J251" i="10"/>
  <c r="J252" i="10"/>
  <c r="N252" i="10" s="1"/>
  <c r="J253" i="10"/>
  <c r="J254" i="10"/>
  <c r="J255" i="10"/>
  <c r="J256" i="10"/>
  <c r="N256" i="10" s="1"/>
  <c r="J257" i="10"/>
  <c r="J258" i="10"/>
  <c r="J259" i="10"/>
  <c r="J260" i="10"/>
  <c r="J261" i="10"/>
  <c r="J262" i="10"/>
  <c r="J263" i="10"/>
  <c r="J264" i="10"/>
  <c r="N264" i="10" s="1"/>
  <c r="J265" i="10"/>
  <c r="J266" i="10"/>
  <c r="J267" i="10"/>
  <c r="J268" i="10"/>
  <c r="J269" i="10"/>
  <c r="J270" i="10"/>
  <c r="J271" i="10"/>
  <c r="J272" i="10"/>
  <c r="N272" i="10" s="1"/>
  <c r="J273" i="10"/>
  <c r="J27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N274" i="10" s="1"/>
  <c r="A244" i="10"/>
  <c r="D244" i="10"/>
  <c r="F244" i="10"/>
  <c r="H244" i="10"/>
  <c r="J244" i="10"/>
  <c r="L244" i="10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L226" i="9" s="1"/>
  <c r="F227" i="9"/>
  <c r="L227" i="9" s="1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A211" i="9"/>
  <c r="D211" i="9"/>
  <c r="F211" i="9"/>
  <c r="J211" i="9"/>
  <c r="D213" i="10"/>
  <c r="D214" i="10"/>
  <c r="D215" i="10"/>
  <c r="D216" i="10"/>
  <c r="D217" i="10"/>
  <c r="N217" i="10" s="1"/>
  <c r="D218" i="10"/>
  <c r="D219" i="10"/>
  <c r="D220" i="10"/>
  <c r="D221" i="10"/>
  <c r="D222" i="10"/>
  <c r="D223" i="10"/>
  <c r="D224" i="10"/>
  <c r="D225" i="10"/>
  <c r="N225" i="10" s="1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L210" i="10"/>
  <c r="L211" i="10"/>
  <c r="L212" i="10"/>
  <c r="L213" i="10"/>
  <c r="L214" i="10"/>
  <c r="L215" i="10"/>
  <c r="L216" i="10"/>
  <c r="L217" i="10"/>
  <c r="L218" i="10"/>
  <c r="L219" i="10"/>
  <c r="N219" i="10" s="1"/>
  <c r="L220" i="10"/>
  <c r="L221" i="10"/>
  <c r="L222" i="10"/>
  <c r="L223" i="10"/>
  <c r="L224" i="10"/>
  <c r="N224" i="10" s="1"/>
  <c r="L225" i="10"/>
  <c r="L226" i="10"/>
  <c r="L227" i="10"/>
  <c r="L228" i="10"/>
  <c r="L229" i="10"/>
  <c r="L230" i="10"/>
  <c r="L231" i="10"/>
  <c r="L232" i="10"/>
  <c r="N232" i="10" s="1"/>
  <c r="L233" i="10"/>
  <c r="L234" i="10"/>
  <c r="L235" i="10"/>
  <c r="L236" i="10"/>
  <c r="L237" i="10"/>
  <c r="L238" i="10"/>
  <c r="L239" i="10"/>
  <c r="L240" i="10"/>
  <c r="L241" i="10"/>
  <c r="L242" i="10"/>
  <c r="L243" i="10"/>
  <c r="N227" i="10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A213" i="8"/>
  <c r="D213" i="8"/>
  <c r="F213" i="8"/>
  <c r="A24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H228" i="10"/>
  <c r="J228" i="10"/>
  <c r="A213" i="10"/>
  <c r="F213" i="10"/>
  <c r="N213" i="10" s="1"/>
  <c r="L234" i="9" l="1"/>
  <c r="L219" i="9"/>
  <c r="N246" i="8"/>
  <c r="N263" i="10"/>
  <c r="L253" i="9"/>
  <c r="N241" i="10"/>
  <c r="N268" i="10"/>
  <c r="N260" i="10"/>
  <c r="N259" i="8"/>
  <c r="N251" i="8"/>
  <c r="N273" i="8"/>
  <c r="N233" i="10"/>
  <c r="N267" i="10"/>
  <c r="N251" i="10"/>
  <c r="N258" i="8"/>
  <c r="N250" i="8"/>
  <c r="N272" i="8"/>
  <c r="L235" i="9"/>
  <c r="N242" i="10"/>
  <c r="N232" i="8"/>
  <c r="N220" i="8"/>
  <c r="N240" i="10"/>
  <c r="N239" i="10"/>
  <c r="N223" i="10"/>
  <c r="N235" i="8"/>
  <c r="N223" i="8"/>
  <c r="N247" i="10"/>
  <c r="N244" i="8"/>
  <c r="L266" i="9"/>
  <c r="N228" i="10"/>
  <c r="N240" i="8"/>
  <c r="N228" i="8"/>
  <c r="N216" i="8"/>
  <c r="N215" i="10"/>
  <c r="N231" i="8"/>
  <c r="N219" i="8"/>
  <c r="N216" i="10"/>
  <c r="L231" i="9"/>
  <c r="N242" i="8"/>
  <c r="N238" i="8"/>
  <c r="N234" i="8"/>
  <c r="N230" i="8"/>
  <c r="N226" i="8"/>
  <c r="N222" i="8"/>
  <c r="N218" i="8"/>
  <c r="N214" i="8"/>
  <c r="N265" i="8"/>
  <c r="N261" i="8"/>
  <c r="N257" i="8"/>
  <c r="N253" i="8"/>
  <c r="N249" i="8"/>
  <c r="N245" i="8"/>
  <c r="N271" i="8"/>
  <c r="N267" i="8"/>
  <c r="L242" i="9"/>
  <c r="L269" i="9"/>
  <c r="L261" i="9"/>
  <c r="N220" i="10"/>
  <c r="N236" i="8"/>
  <c r="N224" i="8"/>
  <c r="N231" i="10"/>
  <c r="N243" i="8"/>
  <c r="N239" i="8"/>
  <c r="N227" i="8"/>
  <c r="N215" i="8"/>
  <c r="L238" i="9"/>
  <c r="L230" i="9"/>
  <c r="L222" i="9"/>
  <c r="L214" i="9"/>
  <c r="N241" i="8"/>
  <c r="N237" i="8"/>
  <c r="N233" i="8"/>
  <c r="N229" i="8"/>
  <c r="N225" i="8"/>
  <c r="N221" i="8"/>
  <c r="N217" i="8"/>
  <c r="N213" i="8"/>
  <c r="N271" i="10"/>
  <c r="N264" i="8"/>
  <c r="N260" i="8"/>
  <c r="N256" i="8"/>
  <c r="N252" i="8"/>
  <c r="N248" i="8"/>
  <c r="N274" i="8"/>
  <c r="N270" i="8"/>
  <c r="N266" i="8"/>
  <c r="L270" i="9"/>
  <c r="L258" i="9"/>
  <c r="L250" i="9"/>
  <c r="L246" i="9"/>
  <c r="L262" i="9"/>
  <c r="N255" i="10"/>
  <c r="L268" i="9"/>
  <c r="L260" i="9"/>
  <c r="L256" i="9"/>
  <c r="L244" i="9"/>
  <c r="L245" i="9"/>
  <c r="L272" i="9"/>
  <c r="L252" i="9"/>
  <c r="L264" i="9"/>
  <c r="L248" i="9"/>
  <c r="L271" i="9"/>
  <c r="L267" i="9"/>
  <c r="L263" i="9"/>
  <c r="L259" i="9"/>
  <c r="L255" i="9"/>
  <c r="L251" i="9"/>
  <c r="L247" i="9"/>
  <c r="L243" i="9"/>
  <c r="L265" i="9"/>
  <c r="L257" i="9"/>
  <c r="L249" i="9"/>
  <c r="N259" i="10"/>
  <c r="N270" i="10"/>
  <c r="N266" i="10"/>
  <c r="N262" i="10"/>
  <c r="N258" i="10"/>
  <c r="N254" i="10"/>
  <c r="N250" i="10"/>
  <c r="N246" i="10"/>
  <c r="N273" i="10"/>
  <c r="N269" i="10"/>
  <c r="N265" i="10"/>
  <c r="N261" i="10"/>
  <c r="N257" i="10"/>
  <c r="N253" i="10"/>
  <c r="N249" i="10"/>
  <c r="N245" i="10"/>
  <c r="N244" i="10"/>
  <c r="L239" i="9"/>
  <c r="L223" i="9"/>
  <c r="L218" i="9"/>
  <c r="L215" i="9"/>
  <c r="L241" i="9"/>
  <c r="L237" i="9"/>
  <c r="L229" i="9"/>
  <c r="L225" i="9"/>
  <c r="L221" i="9"/>
  <c r="L213" i="9"/>
  <c r="L240" i="9"/>
  <c r="L236" i="9"/>
  <c r="L232" i="9"/>
  <c r="L228" i="9"/>
  <c r="L224" i="9"/>
  <c r="L220" i="9"/>
  <c r="L216" i="9"/>
  <c r="L212" i="9"/>
  <c r="L233" i="9"/>
  <c r="L217" i="9"/>
  <c r="L211" i="9"/>
  <c r="N238" i="10"/>
  <c r="N230" i="10"/>
  <c r="N222" i="10"/>
  <c r="N214" i="10"/>
  <c r="N237" i="10"/>
  <c r="N229" i="10"/>
  <c r="N221" i="10"/>
  <c r="N226" i="10"/>
  <c r="N218" i="10"/>
  <c r="N236" i="10"/>
  <c r="N234" i="10"/>
  <c r="N243" i="10"/>
  <c r="N235" i="10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A183" i="10" l="1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N211" i="10" s="1"/>
  <c r="J212" i="10"/>
  <c r="N212" i="10" s="1"/>
  <c r="L183" i="10"/>
  <c r="N183" i="10" s="1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A182" i="10"/>
  <c r="D182" i="10"/>
  <c r="F182" i="10"/>
  <c r="H182" i="10"/>
  <c r="J182" i="10"/>
  <c r="L182" i="10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L183" i="8"/>
  <c r="L184" i="8"/>
  <c r="L185" i="8"/>
  <c r="L186" i="8"/>
  <c r="L187" i="8"/>
  <c r="L188" i="8"/>
  <c r="L189" i="8"/>
  <c r="L190" i="8"/>
  <c r="N190" i="8" s="1"/>
  <c r="L191" i="8"/>
  <c r="L192" i="8"/>
  <c r="L193" i="8"/>
  <c r="L194" i="8"/>
  <c r="L195" i="8"/>
  <c r="L196" i="8"/>
  <c r="L197" i="8"/>
  <c r="N197" i="8" s="1"/>
  <c r="L198" i="8"/>
  <c r="N198" i="8" s="1"/>
  <c r="L199" i="8"/>
  <c r="L200" i="8"/>
  <c r="L201" i="8"/>
  <c r="L202" i="8"/>
  <c r="L203" i="8"/>
  <c r="L204" i="8"/>
  <c r="L205" i="8"/>
  <c r="N205" i="8" s="1"/>
  <c r="L206" i="8"/>
  <c r="N206" i="8" s="1"/>
  <c r="L207" i="8"/>
  <c r="L208" i="8"/>
  <c r="L209" i="8"/>
  <c r="L210" i="8"/>
  <c r="L211" i="8"/>
  <c r="L212" i="8"/>
  <c r="A182" i="8"/>
  <c r="D182" i="8"/>
  <c r="F182" i="8"/>
  <c r="H182" i="8"/>
  <c r="J182" i="8"/>
  <c r="L182" i="8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A180" i="9"/>
  <c r="D180" i="9"/>
  <c r="F180" i="9"/>
  <c r="J180" i="9"/>
  <c r="N194" i="8" l="1"/>
  <c r="N189" i="8"/>
  <c r="N210" i="10"/>
  <c r="N186" i="8"/>
  <c r="N182" i="8"/>
  <c r="N210" i="8"/>
  <c r="N209" i="8"/>
  <c r="N201" i="8"/>
  <c r="N193" i="8"/>
  <c r="N185" i="8"/>
  <c r="N202" i="8"/>
  <c r="N212" i="8"/>
  <c r="N208" i="8"/>
  <c r="N204" i="8"/>
  <c r="N200" i="8"/>
  <c r="N196" i="8"/>
  <c r="N192" i="8"/>
  <c r="N188" i="8"/>
  <c r="N184" i="8"/>
  <c r="N211" i="8"/>
  <c r="N207" i="8"/>
  <c r="N203" i="8"/>
  <c r="N199" i="8"/>
  <c r="N195" i="8"/>
  <c r="N191" i="8"/>
  <c r="N187" i="8"/>
  <c r="N183" i="8"/>
  <c r="L208" i="9"/>
  <c r="L204" i="9"/>
  <c r="L200" i="9"/>
  <c r="N201" i="10"/>
  <c r="N197" i="10"/>
  <c r="N209" i="10"/>
  <c r="N205" i="10"/>
  <c r="N199" i="10"/>
  <c r="L196" i="9"/>
  <c r="N184" i="10"/>
  <c r="L185" i="9"/>
  <c r="L181" i="9"/>
  <c r="N208" i="10"/>
  <c r="N204" i="10"/>
  <c r="N200" i="10"/>
  <c r="N188" i="10"/>
  <c r="L207" i="9"/>
  <c r="L203" i="9"/>
  <c r="L199" i="9"/>
  <c r="L195" i="9"/>
  <c r="N198" i="10"/>
  <c r="L210" i="9"/>
  <c r="L206" i="9"/>
  <c r="L202" i="9"/>
  <c r="L198" i="9"/>
  <c r="L209" i="9"/>
  <c r="L205" i="9"/>
  <c r="L201" i="9"/>
  <c r="L197" i="9"/>
  <c r="N196" i="10"/>
  <c r="N193" i="10"/>
  <c r="N192" i="10"/>
  <c r="N189" i="10"/>
  <c r="N185" i="10"/>
  <c r="N190" i="10"/>
  <c r="L193" i="9"/>
  <c r="L189" i="9"/>
  <c r="L192" i="9"/>
  <c r="L184" i="9"/>
  <c r="N191" i="10"/>
  <c r="N207" i="10"/>
  <c r="N203" i="10"/>
  <c r="N195" i="10"/>
  <c r="N187" i="10"/>
  <c r="N194" i="10"/>
  <c r="N186" i="10"/>
  <c r="N182" i="10"/>
  <c r="N206" i="10"/>
  <c r="N202" i="10"/>
  <c r="L194" i="9"/>
  <c r="L186" i="9"/>
  <c r="L182" i="9"/>
  <c r="L190" i="9"/>
  <c r="L180" i="9"/>
  <c r="L188" i="9"/>
  <c r="L191" i="9"/>
  <c r="L187" i="9"/>
  <c r="L183" i="9"/>
  <c r="A152" i="10" l="1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N169" i="10" s="1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A151" i="10"/>
  <c r="D151" i="10"/>
  <c r="F151" i="10"/>
  <c r="H151" i="10"/>
  <c r="J151" i="10"/>
  <c r="L151" i="10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L153" i="8"/>
  <c r="L154" i="8"/>
  <c r="L155" i="8"/>
  <c r="L156" i="8"/>
  <c r="L157" i="8"/>
  <c r="N157" i="8" s="1"/>
  <c r="L158" i="8"/>
  <c r="L159" i="8"/>
  <c r="L160" i="8"/>
  <c r="L161" i="8"/>
  <c r="L162" i="8"/>
  <c r="L163" i="8"/>
  <c r="L164" i="8"/>
  <c r="L165" i="8"/>
  <c r="N165" i="8" s="1"/>
  <c r="L166" i="8"/>
  <c r="L167" i="8"/>
  <c r="L168" i="8"/>
  <c r="L169" i="8"/>
  <c r="L170" i="8"/>
  <c r="L171" i="8"/>
  <c r="L172" i="8"/>
  <c r="L173" i="8"/>
  <c r="N173" i="8" s="1"/>
  <c r="L174" i="8"/>
  <c r="L175" i="8"/>
  <c r="L176" i="8"/>
  <c r="L177" i="8"/>
  <c r="L178" i="8"/>
  <c r="L179" i="8"/>
  <c r="L180" i="8"/>
  <c r="L181" i="8"/>
  <c r="N181" i="8" s="1"/>
  <c r="F149" i="9"/>
  <c r="J149" i="9"/>
  <c r="F150" i="9"/>
  <c r="J150" i="9"/>
  <c r="F151" i="9"/>
  <c r="J151" i="9"/>
  <c r="F152" i="9"/>
  <c r="J152" i="9"/>
  <c r="F153" i="9"/>
  <c r="J153" i="9"/>
  <c r="F154" i="9"/>
  <c r="J154" i="9"/>
  <c r="F155" i="9"/>
  <c r="J155" i="9"/>
  <c r="F156" i="9"/>
  <c r="J156" i="9"/>
  <c r="F157" i="9"/>
  <c r="J157" i="9"/>
  <c r="F158" i="9"/>
  <c r="J158" i="9"/>
  <c r="F159" i="9"/>
  <c r="J159" i="9"/>
  <c r="F160" i="9"/>
  <c r="J160" i="9"/>
  <c r="F161" i="9"/>
  <c r="J161" i="9"/>
  <c r="F162" i="9"/>
  <c r="J162" i="9"/>
  <c r="F163" i="9"/>
  <c r="J163" i="9"/>
  <c r="F164" i="9"/>
  <c r="J164" i="9"/>
  <c r="F165" i="9"/>
  <c r="J165" i="9"/>
  <c r="F166" i="9"/>
  <c r="J166" i="9"/>
  <c r="F167" i="9"/>
  <c r="J167" i="9"/>
  <c r="F168" i="9"/>
  <c r="J168" i="9"/>
  <c r="F169" i="9"/>
  <c r="J169" i="9"/>
  <c r="F170" i="9"/>
  <c r="J170" i="9"/>
  <c r="F171" i="9"/>
  <c r="J171" i="9"/>
  <c r="F172" i="9"/>
  <c r="J172" i="9"/>
  <c r="F173" i="9"/>
  <c r="J173" i="9"/>
  <c r="F174" i="9"/>
  <c r="J174" i="9"/>
  <c r="F175" i="9"/>
  <c r="J175" i="9"/>
  <c r="F176" i="9"/>
  <c r="J176" i="9"/>
  <c r="F177" i="9"/>
  <c r="J177" i="9"/>
  <c r="F178" i="9"/>
  <c r="J178" i="9"/>
  <c r="F179" i="9"/>
  <c r="J17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A149" i="9"/>
  <c r="D149" i="9"/>
  <c r="N177" i="8" l="1"/>
  <c r="N169" i="8"/>
  <c r="N161" i="8"/>
  <c r="N153" i="8"/>
  <c r="N181" i="10"/>
  <c r="N176" i="8"/>
  <c r="N168" i="8"/>
  <c r="N160" i="8"/>
  <c r="N179" i="8"/>
  <c r="N175" i="8"/>
  <c r="N171" i="8"/>
  <c r="N167" i="8"/>
  <c r="N163" i="8"/>
  <c r="N159" i="8"/>
  <c r="N155" i="8"/>
  <c r="N180" i="8"/>
  <c r="N172" i="8"/>
  <c r="N164" i="8"/>
  <c r="N156" i="8"/>
  <c r="N178" i="8"/>
  <c r="N174" i="8"/>
  <c r="N170" i="8"/>
  <c r="N166" i="8"/>
  <c r="N162" i="8"/>
  <c r="N158" i="8"/>
  <c r="N154" i="8"/>
  <c r="N160" i="10"/>
  <c r="L171" i="9"/>
  <c r="L167" i="9"/>
  <c r="L163" i="9"/>
  <c r="L155" i="9"/>
  <c r="L151" i="9"/>
  <c r="L179" i="9"/>
  <c r="L175" i="9"/>
  <c r="L159" i="9"/>
  <c r="L149" i="9"/>
  <c r="L177" i="9"/>
  <c r="L173" i="9"/>
  <c r="L169" i="9"/>
  <c r="L165" i="9"/>
  <c r="L161" i="9"/>
  <c r="L157" i="9"/>
  <c r="N178" i="10"/>
  <c r="N174" i="10"/>
  <c r="N170" i="10"/>
  <c r="N166" i="10"/>
  <c r="N162" i="10"/>
  <c r="N158" i="10"/>
  <c r="N154" i="10"/>
  <c r="N168" i="10"/>
  <c r="N177" i="10"/>
  <c r="N173" i="10"/>
  <c r="N165" i="10"/>
  <c r="N161" i="10"/>
  <c r="N157" i="10"/>
  <c r="N153" i="10"/>
  <c r="N176" i="10"/>
  <c r="N152" i="10"/>
  <c r="N179" i="10"/>
  <c r="N175" i="10"/>
  <c r="N171" i="10"/>
  <c r="N167" i="10"/>
  <c r="N163" i="10"/>
  <c r="N159" i="10"/>
  <c r="N155" i="10"/>
  <c r="N180" i="10"/>
  <c r="N172" i="10"/>
  <c r="N164" i="10"/>
  <c r="N156" i="10"/>
  <c r="N151" i="10"/>
  <c r="L170" i="9"/>
  <c r="L154" i="9"/>
  <c r="L178" i="9"/>
  <c r="L162" i="9"/>
  <c r="L153" i="9"/>
  <c r="L174" i="9"/>
  <c r="L166" i="9"/>
  <c r="L158" i="9"/>
  <c r="L150" i="9"/>
  <c r="L176" i="9"/>
  <c r="L172" i="9"/>
  <c r="L168" i="9"/>
  <c r="L164" i="9"/>
  <c r="L160" i="9"/>
  <c r="L156" i="9"/>
  <c r="L152" i="9"/>
  <c r="A152" i="8" l="1"/>
  <c r="D152" i="8"/>
  <c r="F152" i="8"/>
  <c r="H152" i="8"/>
  <c r="J152" i="8"/>
  <c r="L152" i="8"/>
  <c r="N152" i="8" l="1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A122" i="10"/>
  <c r="D122" i="10"/>
  <c r="F122" i="10"/>
  <c r="H122" i="10"/>
  <c r="J122" i="10"/>
  <c r="L122" i="10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L123" i="8"/>
  <c r="L124" i="8"/>
  <c r="L125" i="8"/>
  <c r="L126" i="8"/>
  <c r="L127" i="8"/>
  <c r="L128" i="8"/>
  <c r="L129" i="8"/>
  <c r="L130" i="8"/>
  <c r="N130" i="8" s="1"/>
  <c r="L131" i="8"/>
  <c r="L132" i="8"/>
  <c r="L133" i="8"/>
  <c r="L134" i="8"/>
  <c r="L135" i="8"/>
  <c r="L136" i="8"/>
  <c r="L137" i="8"/>
  <c r="L138" i="8"/>
  <c r="N138" i="8" s="1"/>
  <c r="L139" i="8"/>
  <c r="L140" i="8"/>
  <c r="L141" i="8"/>
  <c r="L142" i="8"/>
  <c r="L143" i="8"/>
  <c r="L144" i="8"/>
  <c r="L145" i="8"/>
  <c r="L146" i="8"/>
  <c r="N146" i="8" s="1"/>
  <c r="L147" i="8"/>
  <c r="L148" i="8"/>
  <c r="L149" i="8"/>
  <c r="L150" i="8"/>
  <c r="L151" i="8"/>
  <c r="A122" i="8"/>
  <c r="D122" i="8"/>
  <c r="F122" i="8"/>
  <c r="H122" i="8"/>
  <c r="J122" i="8"/>
  <c r="L122" i="8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A120" i="9"/>
  <c r="D120" i="9"/>
  <c r="F120" i="9"/>
  <c r="J120" i="9"/>
  <c r="N142" i="8" l="1"/>
  <c r="N134" i="8"/>
  <c r="N126" i="8"/>
  <c r="N150" i="8"/>
  <c r="N122" i="8"/>
  <c r="N145" i="8"/>
  <c r="N137" i="8"/>
  <c r="N133" i="8"/>
  <c r="N125" i="8"/>
  <c r="N148" i="8"/>
  <c r="N144" i="8"/>
  <c r="N140" i="8"/>
  <c r="N136" i="8"/>
  <c r="N132" i="8"/>
  <c r="N128" i="8"/>
  <c r="N124" i="8"/>
  <c r="N149" i="8"/>
  <c r="N141" i="8"/>
  <c r="N129" i="8"/>
  <c r="N151" i="8"/>
  <c r="N147" i="8"/>
  <c r="N143" i="8"/>
  <c r="N139" i="8"/>
  <c r="N135" i="8"/>
  <c r="N131" i="8"/>
  <c r="N127" i="8"/>
  <c r="N123" i="8"/>
  <c r="N149" i="10"/>
  <c r="N145" i="10"/>
  <c r="N141" i="10"/>
  <c r="N137" i="10"/>
  <c r="N133" i="10"/>
  <c r="N125" i="10"/>
  <c r="N147" i="10"/>
  <c r="N143" i="10"/>
  <c r="N139" i="10"/>
  <c r="N131" i="10"/>
  <c r="N123" i="10"/>
  <c r="N148" i="10"/>
  <c r="N144" i="10"/>
  <c r="N140" i="10"/>
  <c r="N132" i="10"/>
  <c r="N135" i="10"/>
  <c r="N136" i="10"/>
  <c r="N129" i="10"/>
  <c r="N128" i="10"/>
  <c r="L145" i="9"/>
  <c r="N127" i="10"/>
  <c r="N124" i="10"/>
  <c r="L141" i="9"/>
  <c r="L129" i="9"/>
  <c r="L125" i="9"/>
  <c r="L137" i="9"/>
  <c r="L133" i="9"/>
  <c r="L121" i="9"/>
  <c r="N150" i="10"/>
  <c r="N146" i="10"/>
  <c r="N142" i="10"/>
  <c r="N138" i="10"/>
  <c r="N134" i="10"/>
  <c r="N130" i="10"/>
  <c r="N126" i="10"/>
  <c r="N122" i="10"/>
  <c r="L146" i="9"/>
  <c r="L142" i="9"/>
  <c r="L138" i="9"/>
  <c r="L134" i="9"/>
  <c r="L130" i="9"/>
  <c r="L126" i="9"/>
  <c r="L148" i="9"/>
  <c r="L144" i="9"/>
  <c r="L140" i="9"/>
  <c r="L136" i="9"/>
  <c r="L132" i="9"/>
  <c r="L128" i="9"/>
  <c r="L124" i="9"/>
  <c r="L147" i="9"/>
  <c r="L143" i="9"/>
  <c r="L139" i="9"/>
  <c r="L135" i="9"/>
  <c r="L131" i="9"/>
  <c r="L127" i="9"/>
  <c r="L123" i="9"/>
  <c r="L122" i="9"/>
  <c r="L120" i="9"/>
  <c r="L106" i="12" l="1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A102" i="12" l="1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J102" i="12"/>
  <c r="J103" i="12"/>
  <c r="J104" i="12"/>
  <c r="J105" i="12"/>
  <c r="J106" i="12"/>
  <c r="N106" i="12" s="1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J102" i="10"/>
  <c r="J103" i="10"/>
  <c r="J104" i="10"/>
  <c r="J105" i="10"/>
  <c r="J106" i="10"/>
  <c r="N106" i="10" s="1"/>
  <c r="J107" i="10"/>
  <c r="J108" i="10"/>
  <c r="J109" i="10"/>
  <c r="J110" i="10"/>
  <c r="J111" i="10"/>
  <c r="J112" i="10"/>
  <c r="J113" i="10"/>
  <c r="J114" i="10"/>
  <c r="N114" i="10" s="1"/>
  <c r="J115" i="10"/>
  <c r="J116" i="10"/>
  <c r="J117" i="10"/>
  <c r="J118" i="10"/>
  <c r="J119" i="10"/>
  <c r="J120" i="10"/>
  <c r="N120" i="10" s="1"/>
  <c r="J121" i="10"/>
  <c r="N121" i="10" s="1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L102" i="8"/>
  <c r="N102" i="8" s="1"/>
  <c r="L103" i="8"/>
  <c r="N103" i="8" s="1"/>
  <c r="L104" i="8"/>
  <c r="N104" i="8" s="1"/>
  <c r="L105" i="8"/>
  <c r="N105" i="8" s="1"/>
  <c r="L106" i="8"/>
  <c r="N106" i="8" s="1"/>
  <c r="L107" i="8"/>
  <c r="L108" i="8"/>
  <c r="L109" i="8"/>
  <c r="L110" i="8"/>
  <c r="N110" i="8" s="1"/>
  <c r="L111" i="8"/>
  <c r="N111" i="8" s="1"/>
  <c r="L112" i="8"/>
  <c r="L113" i="8"/>
  <c r="L114" i="8"/>
  <c r="N114" i="8" s="1"/>
  <c r="L115" i="8"/>
  <c r="L116" i="8"/>
  <c r="L117" i="8"/>
  <c r="L118" i="8"/>
  <c r="N118" i="8" s="1"/>
  <c r="L119" i="8"/>
  <c r="N119" i="8" s="1"/>
  <c r="L120" i="8"/>
  <c r="N120" i="8" s="1"/>
  <c r="L121" i="8"/>
  <c r="N121" i="8" s="1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N112" i="8" l="1"/>
  <c r="N117" i="8"/>
  <c r="N109" i="8"/>
  <c r="N116" i="8"/>
  <c r="N108" i="8"/>
  <c r="N113" i="8"/>
  <c r="N115" i="8"/>
  <c r="N107" i="8"/>
  <c r="N107" i="12"/>
  <c r="N109" i="10"/>
  <c r="N119" i="12"/>
  <c r="N121" i="12"/>
  <c r="N109" i="12"/>
  <c r="N118" i="12"/>
  <c r="L109" i="9"/>
  <c r="N108" i="10"/>
  <c r="L119" i="9"/>
  <c r="L107" i="9"/>
  <c r="N110" i="10"/>
  <c r="L114" i="9"/>
  <c r="N120" i="12"/>
  <c r="N108" i="12"/>
  <c r="L111" i="9"/>
  <c r="N111" i="10"/>
  <c r="N102" i="10"/>
  <c r="L102" i="9"/>
  <c r="N110" i="12"/>
  <c r="N113" i="12"/>
  <c r="N112" i="12"/>
  <c r="N111" i="12"/>
  <c r="N117" i="12"/>
  <c r="N114" i="12"/>
  <c r="N102" i="12"/>
  <c r="N104" i="12"/>
  <c r="N103" i="12"/>
  <c r="N105" i="12"/>
  <c r="N115" i="12"/>
  <c r="N116" i="12"/>
  <c r="N113" i="10"/>
  <c r="N112" i="10"/>
  <c r="N119" i="10"/>
  <c r="N107" i="10"/>
  <c r="N117" i="10"/>
  <c r="N116" i="10"/>
  <c r="N103" i="10"/>
  <c r="N118" i="10"/>
  <c r="N105" i="10"/>
  <c r="N104" i="10"/>
  <c r="N115" i="10"/>
  <c r="L115" i="9"/>
  <c r="L103" i="9"/>
  <c r="L118" i="9"/>
  <c r="L117" i="9"/>
  <c r="L116" i="9"/>
  <c r="L106" i="9"/>
  <c r="L105" i="9"/>
  <c r="L104" i="9"/>
  <c r="L113" i="9"/>
  <c r="L110" i="9"/>
  <c r="L112" i="9"/>
  <c r="L108" i="9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D73" i="8" l="1"/>
  <c r="A47" i="10" l="1"/>
  <c r="D47" i="10"/>
  <c r="F47" i="10"/>
  <c r="H47" i="10"/>
  <c r="J47" i="10"/>
  <c r="N47" i="10" l="1"/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2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L3" i="12"/>
  <c r="L4" i="12"/>
  <c r="L5" i="12"/>
  <c r="L6" i="12"/>
  <c r="L7" i="12"/>
  <c r="L8" i="12"/>
  <c r="L9" i="12"/>
  <c r="L10" i="12"/>
  <c r="L11" i="12"/>
  <c r="L12" i="12"/>
  <c r="L13" i="12"/>
  <c r="L14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A2" i="8" l="1"/>
  <c r="D2" i="8"/>
  <c r="F2" i="8"/>
  <c r="H2" i="8"/>
  <c r="J2" i="8"/>
  <c r="L2" i="8"/>
  <c r="A3" i="8"/>
  <c r="D3" i="8"/>
  <c r="F3" i="8"/>
  <c r="H3" i="8"/>
  <c r="J3" i="8"/>
  <c r="L3" i="8"/>
  <c r="A4" i="8"/>
  <c r="D4" i="8"/>
  <c r="F4" i="8"/>
  <c r="H4" i="8"/>
  <c r="J4" i="8"/>
  <c r="L4" i="8"/>
  <c r="A5" i="8"/>
  <c r="D5" i="8"/>
  <c r="F5" i="8"/>
  <c r="H5" i="8"/>
  <c r="J5" i="8"/>
  <c r="L5" i="8"/>
  <c r="N5" i="8" s="1"/>
  <c r="A6" i="8"/>
  <c r="D6" i="8"/>
  <c r="F6" i="8"/>
  <c r="H6" i="8"/>
  <c r="J6" i="8"/>
  <c r="L6" i="8"/>
  <c r="A7" i="8"/>
  <c r="D7" i="8"/>
  <c r="F7" i="8"/>
  <c r="H7" i="8"/>
  <c r="J7" i="8"/>
  <c r="L7" i="8"/>
  <c r="A8" i="8"/>
  <c r="D8" i="8"/>
  <c r="F8" i="8"/>
  <c r="H8" i="8"/>
  <c r="J8" i="8"/>
  <c r="L8" i="8"/>
  <c r="A9" i="8"/>
  <c r="D9" i="8"/>
  <c r="F9" i="8"/>
  <c r="H9" i="8"/>
  <c r="J9" i="8"/>
  <c r="L9" i="8"/>
  <c r="N9" i="8" s="1"/>
  <c r="A10" i="8"/>
  <c r="D10" i="8"/>
  <c r="F10" i="8"/>
  <c r="H10" i="8"/>
  <c r="J10" i="8"/>
  <c r="L10" i="8"/>
  <c r="A11" i="8"/>
  <c r="D11" i="8"/>
  <c r="F11" i="8"/>
  <c r="H11" i="8"/>
  <c r="J11" i="8"/>
  <c r="L11" i="8"/>
  <c r="A12" i="8"/>
  <c r="D12" i="8"/>
  <c r="F12" i="8"/>
  <c r="H12" i="8"/>
  <c r="J12" i="8"/>
  <c r="L12" i="8"/>
  <c r="A13" i="8"/>
  <c r="D13" i="8"/>
  <c r="F13" i="8"/>
  <c r="H13" i="8"/>
  <c r="J13" i="8"/>
  <c r="L13" i="8"/>
  <c r="N13" i="8" s="1"/>
  <c r="A14" i="8"/>
  <c r="D14" i="8"/>
  <c r="F14" i="8"/>
  <c r="H14" i="8"/>
  <c r="J14" i="8"/>
  <c r="L14" i="8"/>
  <c r="A15" i="8"/>
  <c r="D15" i="8"/>
  <c r="F15" i="8"/>
  <c r="H15" i="8"/>
  <c r="J15" i="8"/>
  <c r="L15" i="8"/>
  <c r="A16" i="8"/>
  <c r="D16" i="8"/>
  <c r="F16" i="8"/>
  <c r="H16" i="8"/>
  <c r="J16" i="8"/>
  <c r="L16" i="8"/>
  <c r="A17" i="8"/>
  <c r="D17" i="8"/>
  <c r="F17" i="8"/>
  <c r="H17" i="8"/>
  <c r="J17" i="8"/>
  <c r="L17" i="8"/>
  <c r="N17" i="8" s="1"/>
  <c r="A18" i="8"/>
  <c r="D18" i="8"/>
  <c r="F18" i="8"/>
  <c r="H18" i="8"/>
  <c r="J18" i="8"/>
  <c r="L18" i="8"/>
  <c r="A19" i="8"/>
  <c r="D19" i="8"/>
  <c r="F19" i="8"/>
  <c r="H19" i="8"/>
  <c r="J19" i="8"/>
  <c r="L19" i="8"/>
  <c r="A20" i="8"/>
  <c r="D20" i="8"/>
  <c r="F20" i="8"/>
  <c r="H20" i="8"/>
  <c r="J20" i="8"/>
  <c r="L20" i="8"/>
  <c r="A21" i="8"/>
  <c r="D21" i="8"/>
  <c r="F21" i="8"/>
  <c r="H21" i="8"/>
  <c r="J21" i="8"/>
  <c r="L21" i="8"/>
  <c r="N21" i="8" s="1"/>
  <c r="A22" i="8"/>
  <c r="D22" i="8"/>
  <c r="F22" i="8"/>
  <c r="H22" i="8"/>
  <c r="J22" i="8"/>
  <c r="L22" i="8"/>
  <c r="A23" i="8"/>
  <c r="D23" i="8"/>
  <c r="F23" i="8"/>
  <c r="H23" i="8"/>
  <c r="J23" i="8"/>
  <c r="L23" i="8"/>
  <c r="A24" i="8"/>
  <c r="D24" i="8"/>
  <c r="F24" i="8"/>
  <c r="H24" i="8"/>
  <c r="J24" i="8"/>
  <c r="L24" i="8"/>
  <c r="A25" i="8"/>
  <c r="D25" i="8"/>
  <c r="F25" i="8"/>
  <c r="H25" i="8"/>
  <c r="J25" i="8"/>
  <c r="L25" i="8"/>
  <c r="N25" i="8" s="1"/>
  <c r="A26" i="8"/>
  <c r="D26" i="8"/>
  <c r="F26" i="8"/>
  <c r="H26" i="8"/>
  <c r="J26" i="8"/>
  <c r="L26" i="8"/>
  <c r="A27" i="8"/>
  <c r="D27" i="8"/>
  <c r="F27" i="8"/>
  <c r="H27" i="8"/>
  <c r="J27" i="8"/>
  <c r="L27" i="8"/>
  <c r="A28" i="8"/>
  <c r="D28" i="8"/>
  <c r="F28" i="8"/>
  <c r="H28" i="8"/>
  <c r="J28" i="8"/>
  <c r="L28" i="8"/>
  <c r="A29" i="8"/>
  <c r="D29" i="8"/>
  <c r="F29" i="8"/>
  <c r="H29" i="8"/>
  <c r="J29" i="8"/>
  <c r="L29" i="8"/>
  <c r="N29" i="8" s="1"/>
  <c r="A30" i="8"/>
  <c r="D30" i="8"/>
  <c r="F30" i="8"/>
  <c r="H30" i="8"/>
  <c r="J30" i="8"/>
  <c r="L30" i="8"/>
  <c r="A31" i="8"/>
  <c r="D31" i="8"/>
  <c r="F31" i="8"/>
  <c r="H31" i="8"/>
  <c r="J31" i="8"/>
  <c r="L31" i="8"/>
  <c r="A32" i="8"/>
  <c r="D32" i="8"/>
  <c r="F32" i="8"/>
  <c r="H32" i="8"/>
  <c r="J32" i="8"/>
  <c r="L32" i="8"/>
  <c r="A33" i="8"/>
  <c r="D33" i="8"/>
  <c r="F33" i="8"/>
  <c r="H33" i="8"/>
  <c r="J33" i="8"/>
  <c r="L33" i="8"/>
  <c r="N33" i="8" s="1"/>
  <c r="A34" i="8"/>
  <c r="D34" i="8"/>
  <c r="F34" i="8"/>
  <c r="H34" i="8"/>
  <c r="J34" i="8"/>
  <c r="L34" i="8"/>
  <c r="A35" i="8"/>
  <c r="D35" i="8"/>
  <c r="F35" i="8"/>
  <c r="H35" i="8"/>
  <c r="J35" i="8"/>
  <c r="L35" i="8"/>
  <c r="A36" i="8"/>
  <c r="D36" i="8"/>
  <c r="F36" i="8"/>
  <c r="H36" i="8"/>
  <c r="J36" i="8"/>
  <c r="L36" i="8"/>
  <c r="A37" i="8"/>
  <c r="D37" i="8"/>
  <c r="F37" i="8"/>
  <c r="H37" i="8"/>
  <c r="J37" i="8"/>
  <c r="L37" i="8"/>
  <c r="N37" i="8" s="1"/>
  <c r="A38" i="8"/>
  <c r="D38" i="8"/>
  <c r="F38" i="8"/>
  <c r="H38" i="8"/>
  <c r="J38" i="8"/>
  <c r="L38" i="8"/>
  <c r="A39" i="8"/>
  <c r="D39" i="8"/>
  <c r="F39" i="8"/>
  <c r="H39" i="8"/>
  <c r="J39" i="8"/>
  <c r="L39" i="8"/>
  <c r="A40" i="8"/>
  <c r="D40" i="8"/>
  <c r="F40" i="8"/>
  <c r="H40" i="8"/>
  <c r="J40" i="8"/>
  <c r="L40" i="8"/>
  <c r="A41" i="8"/>
  <c r="D41" i="8"/>
  <c r="F41" i="8"/>
  <c r="H41" i="8"/>
  <c r="J41" i="8"/>
  <c r="L41" i="8"/>
  <c r="N41" i="8" s="1"/>
  <c r="A42" i="8"/>
  <c r="D42" i="8"/>
  <c r="F42" i="8"/>
  <c r="H42" i="8"/>
  <c r="J42" i="8"/>
  <c r="L42" i="8"/>
  <c r="A43" i="8"/>
  <c r="D43" i="8"/>
  <c r="F43" i="8"/>
  <c r="H43" i="8"/>
  <c r="J43" i="8"/>
  <c r="L43" i="8"/>
  <c r="A44" i="8"/>
  <c r="D44" i="8"/>
  <c r="F44" i="8"/>
  <c r="H44" i="8"/>
  <c r="J44" i="8"/>
  <c r="L44" i="8"/>
  <c r="A45" i="8"/>
  <c r="D45" i="8"/>
  <c r="F45" i="8"/>
  <c r="H45" i="8"/>
  <c r="J45" i="8"/>
  <c r="L45" i="8"/>
  <c r="N45" i="8" s="1"/>
  <c r="A46" i="8"/>
  <c r="D46" i="8"/>
  <c r="F46" i="8"/>
  <c r="H46" i="8"/>
  <c r="J46" i="8"/>
  <c r="L46" i="8"/>
  <c r="A47" i="8"/>
  <c r="D47" i="8"/>
  <c r="F47" i="8"/>
  <c r="H47" i="8"/>
  <c r="J47" i="8"/>
  <c r="L47" i="8"/>
  <c r="A48" i="8"/>
  <c r="D48" i="8"/>
  <c r="F48" i="8"/>
  <c r="H48" i="8"/>
  <c r="J48" i="8"/>
  <c r="L48" i="8"/>
  <c r="A49" i="8"/>
  <c r="D49" i="8"/>
  <c r="F49" i="8"/>
  <c r="H49" i="8"/>
  <c r="J49" i="8"/>
  <c r="L49" i="8"/>
  <c r="N49" i="8" s="1"/>
  <c r="A50" i="8"/>
  <c r="D50" i="8"/>
  <c r="F50" i="8"/>
  <c r="H50" i="8"/>
  <c r="J50" i="8"/>
  <c r="L50" i="8"/>
  <c r="A51" i="8"/>
  <c r="D51" i="8"/>
  <c r="F51" i="8"/>
  <c r="H51" i="8"/>
  <c r="J51" i="8"/>
  <c r="L51" i="8"/>
  <c r="A52" i="8"/>
  <c r="D52" i="8"/>
  <c r="F52" i="8"/>
  <c r="H52" i="8"/>
  <c r="J52" i="8"/>
  <c r="L52" i="8"/>
  <c r="A53" i="8"/>
  <c r="D53" i="8"/>
  <c r="F53" i="8"/>
  <c r="H53" i="8"/>
  <c r="J53" i="8"/>
  <c r="L53" i="8"/>
  <c r="N53" i="8" s="1"/>
  <c r="A54" i="8"/>
  <c r="D54" i="8"/>
  <c r="F54" i="8"/>
  <c r="H54" i="8"/>
  <c r="J54" i="8"/>
  <c r="L54" i="8"/>
  <c r="A55" i="8"/>
  <c r="D55" i="8"/>
  <c r="F55" i="8"/>
  <c r="H55" i="8"/>
  <c r="J55" i="8"/>
  <c r="L55" i="8"/>
  <c r="A56" i="8"/>
  <c r="D56" i="8"/>
  <c r="F56" i="8"/>
  <c r="H56" i="8"/>
  <c r="J56" i="8"/>
  <c r="L56" i="8"/>
  <c r="A57" i="8"/>
  <c r="D57" i="8"/>
  <c r="F57" i="8"/>
  <c r="H57" i="8"/>
  <c r="J57" i="8"/>
  <c r="L57" i="8"/>
  <c r="N57" i="8" s="1"/>
  <c r="A58" i="8"/>
  <c r="D58" i="8"/>
  <c r="F58" i="8"/>
  <c r="H58" i="8"/>
  <c r="J58" i="8"/>
  <c r="L58" i="8"/>
  <c r="A59" i="8"/>
  <c r="D59" i="8"/>
  <c r="F59" i="8"/>
  <c r="H59" i="8"/>
  <c r="J59" i="8"/>
  <c r="L59" i="8"/>
  <c r="A60" i="8"/>
  <c r="D60" i="8"/>
  <c r="F60" i="8"/>
  <c r="H60" i="8"/>
  <c r="J60" i="8"/>
  <c r="L60" i="8"/>
  <c r="A61" i="8"/>
  <c r="D61" i="8"/>
  <c r="F61" i="8"/>
  <c r="H61" i="8"/>
  <c r="J61" i="8"/>
  <c r="L61" i="8"/>
  <c r="N61" i="8" s="1"/>
  <c r="A62" i="8"/>
  <c r="D62" i="8"/>
  <c r="F62" i="8"/>
  <c r="H62" i="8"/>
  <c r="J62" i="8"/>
  <c r="L62" i="8"/>
  <c r="A63" i="8"/>
  <c r="D63" i="8"/>
  <c r="F63" i="8"/>
  <c r="H63" i="8"/>
  <c r="J63" i="8"/>
  <c r="L63" i="8"/>
  <c r="A64" i="8"/>
  <c r="D64" i="8"/>
  <c r="F64" i="8"/>
  <c r="H64" i="8"/>
  <c r="J64" i="8"/>
  <c r="L64" i="8"/>
  <c r="A65" i="8"/>
  <c r="D65" i="8"/>
  <c r="F65" i="8"/>
  <c r="H65" i="8"/>
  <c r="J65" i="8"/>
  <c r="L65" i="8"/>
  <c r="N65" i="8" s="1"/>
  <c r="A66" i="8"/>
  <c r="D66" i="8"/>
  <c r="F66" i="8"/>
  <c r="H66" i="8"/>
  <c r="J66" i="8"/>
  <c r="L66" i="8"/>
  <c r="A67" i="8"/>
  <c r="D67" i="8"/>
  <c r="F67" i="8"/>
  <c r="H67" i="8"/>
  <c r="J67" i="8"/>
  <c r="L67" i="8"/>
  <c r="A68" i="8"/>
  <c r="D68" i="8"/>
  <c r="F68" i="8"/>
  <c r="H68" i="8"/>
  <c r="J68" i="8"/>
  <c r="L68" i="8"/>
  <c r="A69" i="8"/>
  <c r="D69" i="8"/>
  <c r="F69" i="8"/>
  <c r="H69" i="8"/>
  <c r="J69" i="8"/>
  <c r="L69" i="8"/>
  <c r="N69" i="8" s="1"/>
  <c r="A70" i="8"/>
  <c r="D70" i="8"/>
  <c r="F70" i="8"/>
  <c r="H70" i="8"/>
  <c r="J70" i="8"/>
  <c r="L70" i="8"/>
  <c r="A71" i="8"/>
  <c r="D71" i="8"/>
  <c r="F71" i="8"/>
  <c r="H71" i="8"/>
  <c r="J71" i="8"/>
  <c r="L71" i="8"/>
  <c r="A72" i="8"/>
  <c r="D72" i="8"/>
  <c r="F72" i="8"/>
  <c r="H72" i="8"/>
  <c r="J72" i="8"/>
  <c r="L72" i="8"/>
  <c r="A73" i="8"/>
  <c r="F73" i="8"/>
  <c r="H73" i="8"/>
  <c r="J73" i="8"/>
  <c r="L73" i="8"/>
  <c r="A74" i="8"/>
  <c r="D74" i="8"/>
  <c r="F74" i="8"/>
  <c r="H74" i="8"/>
  <c r="J74" i="8"/>
  <c r="L74" i="8"/>
  <c r="A75" i="8"/>
  <c r="D75" i="8"/>
  <c r="F75" i="8"/>
  <c r="H75" i="8"/>
  <c r="J75" i="8"/>
  <c r="L75" i="8"/>
  <c r="A76" i="8"/>
  <c r="D76" i="8"/>
  <c r="F76" i="8"/>
  <c r="H76" i="8"/>
  <c r="J76" i="8"/>
  <c r="L76" i="8"/>
  <c r="A77" i="8"/>
  <c r="D77" i="8"/>
  <c r="F77" i="8"/>
  <c r="H77" i="8"/>
  <c r="J77" i="8"/>
  <c r="L77" i="8"/>
  <c r="A78" i="8"/>
  <c r="D78" i="8"/>
  <c r="F78" i="8"/>
  <c r="H78" i="8"/>
  <c r="J78" i="8"/>
  <c r="L78" i="8"/>
  <c r="A79" i="8"/>
  <c r="D79" i="8"/>
  <c r="F79" i="8"/>
  <c r="H79" i="8"/>
  <c r="J79" i="8"/>
  <c r="L79" i="8"/>
  <c r="A80" i="8"/>
  <c r="D80" i="8"/>
  <c r="F80" i="8"/>
  <c r="H80" i="8"/>
  <c r="J80" i="8"/>
  <c r="L80" i="8"/>
  <c r="A81" i="8"/>
  <c r="D81" i="8"/>
  <c r="F81" i="8"/>
  <c r="H81" i="8"/>
  <c r="J81" i="8"/>
  <c r="L81" i="8"/>
  <c r="A82" i="8"/>
  <c r="D82" i="8"/>
  <c r="F82" i="8"/>
  <c r="H82" i="8"/>
  <c r="J82" i="8"/>
  <c r="L82" i="8"/>
  <c r="A83" i="8"/>
  <c r="D83" i="8"/>
  <c r="F83" i="8"/>
  <c r="H83" i="8"/>
  <c r="J83" i="8"/>
  <c r="L83" i="8"/>
  <c r="A84" i="8"/>
  <c r="D84" i="8"/>
  <c r="F84" i="8"/>
  <c r="H84" i="8"/>
  <c r="J84" i="8"/>
  <c r="L84" i="8"/>
  <c r="A85" i="8"/>
  <c r="D85" i="8"/>
  <c r="F85" i="8"/>
  <c r="H85" i="8"/>
  <c r="J85" i="8"/>
  <c r="L85" i="8"/>
  <c r="A86" i="8"/>
  <c r="D86" i="8"/>
  <c r="F86" i="8"/>
  <c r="H86" i="8"/>
  <c r="J86" i="8"/>
  <c r="L86" i="8"/>
  <c r="A87" i="8"/>
  <c r="D87" i="8"/>
  <c r="F87" i="8"/>
  <c r="H87" i="8"/>
  <c r="J87" i="8"/>
  <c r="L87" i="8"/>
  <c r="A88" i="8"/>
  <c r="D88" i="8"/>
  <c r="F88" i="8"/>
  <c r="H88" i="8"/>
  <c r="J88" i="8"/>
  <c r="L88" i="8"/>
  <c r="A89" i="8"/>
  <c r="D89" i="8"/>
  <c r="F89" i="8"/>
  <c r="H89" i="8"/>
  <c r="J89" i="8"/>
  <c r="L89" i="8"/>
  <c r="A90" i="8"/>
  <c r="D90" i="8"/>
  <c r="F90" i="8"/>
  <c r="H90" i="8"/>
  <c r="J90" i="8"/>
  <c r="L90" i="8"/>
  <c r="A91" i="8"/>
  <c r="D91" i="8"/>
  <c r="F91" i="8"/>
  <c r="H91" i="8"/>
  <c r="J91" i="8"/>
  <c r="L91" i="8"/>
  <c r="A92" i="8"/>
  <c r="D92" i="8"/>
  <c r="F92" i="8"/>
  <c r="H92" i="8"/>
  <c r="J92" i="8"/>
  <c r="L92" i="8"/>
  <c r="A93" i="8"/>
  <c r="D93" i="8"/>
  <c r="F93" i="8"/>
  <c r="H93" i="8"/>
  <c r="J93" i="8"/>
  <c r="L93" i="8"/>
  <c r="A94" i="8"/>
  <c r="D94" i="8"/>
  <c r="F94" i="8"/>
  <c r="H94" i="8"/>
  <c r="J94" i="8"/>
  <c r="L94" i="8"/>
  <c r="A95" i="8"/>
  <c r="D95" i="8"/>
  <c r="F95" i="8"/>
  <c r="H95" i="8"/>
  <c r="J95" i="8"/>
  <c r="L95" i="8"/>
  <c r="A96" i="8"/>
  <c r="D96" i="8"/>
  <c r="F96" i="8"/>
  <c r="H96" i="8"/>
  <c r="J96" i="8"/>
  <c r="L96" i="8"/>
  <c r="A97" i="8"/>
  <c r="D97" i="8"/>
  <c r="F97" i="8"/>
  <c r="H97" i="8"/>
  <c r="J97" i="8"/>
  <c r="L97" i="8"/>
  <c r="A98" i="8"/>
  <c r="D98" i="8"/>
  <c r="F98" i="8"/>
  <c r="H98" i="8"/>
  <c r="J98" i="8"/>
  <c r="L98" i="8"/>
  <c r="A99" i="8"/>
  <c r="D99" i="8"/>
  <c r="F99" i="8"/>
  <c r="H99" i="8"/>
  <c r="J99" i="8"/>
  <c r="L99" i="8"/>
  <c r="A100" i="8"/>
  <c r="D100" i="8"/>
  <c r="F100" i="8"/>
  <c r="H100" i="8"/>
  <c r="J100" i="8"/>
  <c r="L100" i="8"/>
  <c r="A101" i="8"/>
  <c r="D101" i="8"/>
  <c r="F101" i="8"/>
  <c r="H101" i="8"/>
  <c r="J101" i="8"/>
  <c r="L101" i="8"/>
  <c r="N71" i="8" l="1"/>
  <c r="N67" i="8"/>
  <c r="N63" i="8"/>
  <c r="N59" i="8"/>
  <c r="N55" i="8"/>
  <c r="N51" i="8"/>
  <c r="N47" i="8"/>
  <c r="N43" i="8"/>
  <c r="N39" i="8"/>
  <c r="N35" i="8"/>
  <c r="N31" i="8"/>
  <c r="N27" i="8"/>
  <c r="N23" i="8"/>
  <c r="N19" i="8"/>
  <c r="N15" i="8"/>
  <c r="N11" i="8"/>
  <c r="N7" i="8"/>
  <c r="N3" i="8"/>
  <c r="N99" i="8"/>
  <c r="N97" i="8"/>
  <c r="N93" i="8"/>
  <c r="N89" i="8"/>
  <c r="N87" i="8"/>
  <c r="N83" i="8"/>
  <c r="N81" i="8"/>
  <c r="N79" i="8"/>
  <c r="N77" i="8"/>
  <c r="N75" i="8"/>
  <c r="N72" i="8"/>
  <c r="N70" i="8"/>
  <c r="N68" i="8"/>
  <c r="N66" i="8"/>
  <c r="N64" i="8"/>
  <c r="N62" i="8"/>
  <c r="N60" i="8"/>
  <c r="N58" i="8"/>
  <c r="N56" i="8"/>
  <c r="N54" i="8"/>
  <c r="N52" i="8"/>
  <c r="N50" i="8"/>
  <c r="N48" i="8"/>
  <c r="N46" i="8"/>
  <c r="N44" i="8"/>
  <c r="N42" i="8"/>
  <c r="N40" i="8"/>
  <c r="N38" i="8"/>
  <c r="N36" i="8"/>
  <c r="N34" i="8"/>
  <c r="N32" i="8"/>
  <c r="N30" i="8"/>
  <c r="N28" i="8"/>
  <c r="N26" i="8"/>
  <c r="N24" i="8"/>
  <c r="N22" i="8"/>
  <c r="N20" i="8"/>
  <c r="N18" i="8"/>
  <c r="N16" i="8"/>
  <c r="N14" i="8"/>
  <c r="N12" i="8"/>
  <c r="N10" i="8"/>
  <c r="N8" i="8"/>
  <c r="N6" i="8"/>
  <c r="N4" i="8"/>
  <c r="N2" i="8"/>
  <c r="N101" i="8"/>
  <c r="N95" i="8"/>
  <c r="N91" i="8"/>
  <c r="N85" i="8"/>
  <c r="N73" i="8"/>
  <c r="N100" i="8"/>
  <c r="N98" i="8"/>
  <c r="N96" i="8"/>
  <c r="N94" i="8"/>
  <c r="N92" i="8"/>
  <c r="N90" i="8"/>
  <c r="N88" i="8"/>
  <c r="N86" i="8"/>
  <c r="N84" i="8"/>
  <c r="N82" i="8"/>
  <c r="N80" i="8"/>
  <c r="N78" i="8"/>
  <c r="N76" i="8"/>
  <c r="N74" i="8"/>
  <c r="J2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N46" i="12" s="1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N70" i="12" s="1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D2" i="12"/>
  <c r="D3" i="12"/>
  <c r="D4" i="12"/>
  <c r="D5" i="12"/>
  <c r="D6" i="12"/>
  <c r="D7" i="12"/>
  <c r="N7" i="12" s="1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N24" i="12" s="1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N41" i="12" s="1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N58" i="12" s="1"/>
  <c r="D59" i="12"/>
  <c r="D60" i="12"/>
  <c r="D61" i="12"/>
  <c r="D62" i="12"/>
  <c r="D63" i="12"/>
  <c r="D64" i="12"/>
  <c r="N64" i="12" s="1"/>
  <c r="D65" i="12"/>
  <c r="D66" i="12"/>
  <c r="D67" i="12"/>
  <c r="D68" i="12"/>
  <c r="D69" i="12"/>
  <c r="D70" i="12"/>
  <c r="D71" i="12"/>
  <c r="D72" i="12"/>
  <c r="N72" i="12" s="1"/>
  <c r="D73" i="12"/>
  <c r="D74" i="12"/>
  <c r="D75" i="12"/>
  <c r="D76" i="12"/>
  <c r="D77" i="12"/>
  <c r="D78" i="12"/>
  <c r="D79" i="12"/>
  <c r="N79" i="12" s="1"/>
  <c r="D80" i="12"/>
  <c r="D81" i="12"/>
  <c r="D82" i="12"/>
  <c r="D83" i="12"/>
  <c r="D84" i="12"/>
  <c r="D85" i="12"/>
  <c r="D86" i="12"/>
  <c r="D87" i="12"/>
  <c r="D88" i="12"/>
  <c r="N88" i="12" s="1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L2" i="12"/>
  <c r="A2" i="12"/>
  <c r="J2" i="10"/>
  <c r="J3" i="10"/>
  <c r="J4" i="10"/>
  <c r="J5" i="10"/>
  <c r="J6" i="10"/>
  <c r="J7" i="10"/>
  <c r="J8" i="10"/>
  <c r="J9" i="10"/>
  <c r="J10" i="10"/>
  <c r="J11" i="10"/>
  <c r="J12" i="10"/>
  <c r="J13" i="10"/>
  <c r="H2" i="10"/>
  <c r="H3" i="10"/>
  <c r="H4" i="10"/>
  <c r="H5" i="10"/>
  <c r="H6" i="10"/>
  <c r="H7" i="10"/>
  <c r="H8" i="10"/>
  <c r="H9" i="10"/>
  <c r="H10" i="10"/>
  <c r="H11" i="10"/>
  <c r="H12" i="10"/>
  <c r="H13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F2" i="10"/>
  <c r="F3" i="10"/>
  <c r="F4" i="10"/>
  <c r="F5" i="10"/>
  <c r="F6" i="10"/>
  <c r="F7" i="10"/>
  <c r="F8" i="10"/>
  <c r="F9" i="10"/>
  <c r="F10" i="10"/>
  <c r="F11" i="10"/>
  <c r="F12" i="10"/>
  <c r="F13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D3" i="10"/>
  <c r="D4" i="10"/>
  <c r="D5" i="10"/>
  <c r="D6" i="10"/>
  <c r="D7" i="10"/>
  <c r="D8" i="10"/>
  <c r="D9" i="10"/>
  <c r="D10" i="10"/>
  <c r="D11" i="10"/>
  <c r="D12" i="10"/>
  <c r="D13" i="10"/>
  <c r="D14" i="10"/>
  <c r="N14" i="10" s="1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2" i="10"/>
  <c r="N22" i="12" l="1"/>
  <c r="N34" i="12"/>
  <c r="N82" i="12"/>
  <c r="N27" i="12"/>
  <c r="N63" i="12"/>
  <c r="N52" i="12"/>
  <c r="N36" i="12"/>
  <c r="N48" i="12"/>
  <c r="N40" i="12"/>
  <c r="N16" i="12"/>
  <c r="N8" i="12"/>
  <c r="N59" i="12"/>
  <c r="N35" i="12"/>
  <c r="N19" i="12"/>
  <c r="N71" i="12"/>
  <c r="N55" i="12"/>
  <c r="N47" i="12"/>
  <c r="N31" i="12"/>
  <c r="N23" i="12"/>
  <c r="N53" i="12"/>
  <c r="N29" i="12"/>
  <c r="N100" i="12"/>
  <c r="N76" i="12"/>
  <c r="N68" i="12"/>
  <c r="N44" i="12"/>
  <c r="N28" i="12"/>
  <c r="N20" i="12"/>
  <c r="N43" i="12"/>
  <c r="N33" i="12"/>
  <c r="N65" i="12"/>
  <c r="N57" i="12"/>
  <c r="N17" i="12"/>
  <c r="N11" i="12"/>
  <c r="N39" i="12"/>
  <c r="N80" i="10"/>
  <c r="N79" i="10"/>
  <c r="N21" i="12"/>
  <c r="N78" i="10"/>
  <c r="N90" i="10"/>
  <c r="N66" i="10"/>
  <c r="N54" i="10"/>
  <c r="N42" i="10"/>
  <c r="N94" i="12"/>
  <c r="N32" i="12"/>
  <c r="N95" i="12"/>
  <c r="N83" i="12"/>
  <c r="N42" i="12"/>
  <c r="N38" i="12"/>
  <c r="N50" i="12"/>
  <c r="N90" i="12"/>
  <c r="N86" i="12"/>
  <c r="N18" i="12"/>
  <c r="N30" i="12"/>
  <c r="N54" i="12"/>
  <c r="N66" i="12"/>
  <c r="N26" i="12"/>
  <c r="N78" i="12"/>
  <c r="N93" i="12"/>
  <c r="N81" i="12"/>
  <c r="N69" i="12"/>
  <c r="N15" i="12"/>
  <c r="N14" i="12"/>
  <c r="N6" i="12"/>
  <c r="N5" i="12"/>
  <c r="N4" i="12"/>
  <c r="N91" i="10"/>
  <c r="N30" i="10"/>
  <c r="N25" i="10"/>
  <c r="N67" i="10"/>
  <c r="N55" i="10"/>
  <c r="N43" i="10"/>
  <c r="N31" i="10"/>
  <c r="N19" i="10"/>
  <c r="N18" i="10"/>
  <c r="N16" i="10"/>
  <c r="N75" i="10"/>
  <c r="N39" i="10"/>
  <c r="N27" i="10"/>
  <c r="N15" i="10"/>
  <c r="N100" i="10"/>
  <c r="N88" i="10"/>
  <c r="N76" i="10"/>
  <c r="N64" i="10"/>
  <c r="N52" i="10"/>
  <c r="N40" i="10"/>
  <c r="N28" i="10"/>
  <c r="N101" i="10"/>
  <c r="N89" i="10"/>
  <c r="N77" i="10"/>
  <c r="N65" i="10"/>
  <c r="N53" i="10"/>
  <c r="N41" i="10"/>
  <c r="N29" i="10"/>
  <c r="N17" i="10"/>
  <c r="N99" i="10"/>
  <c r="N87" i="10"/>
  <c r="N63" i="10"/>
  <c r="N51" i="10"/>
  <c r="N98" i="10"/>
  <c r="N86" i="10"/>
  <c r="N74" i="10"/>
  <c r="N62" i="10"/>
  <c r="N50" i="10"/>
  <c r="N38" i="10"/>
  <c r="N26" i="10"/>
  <c r="N97" i="10"/>
  <c r="N85" i="10"/>
  <c r="N73" i="10"/>
  <c r="N61" i="10"/>
  <c r="N49" i="10"/>
  <c r="N37" i="10"/>
  <c r="N96" i="10"/>
  <c r="N84" i="10"/>
  <c r="N72" i="10"/>
  <c r="N60" i="10"/>
  <c r="N48" i="10"/>
  <c r="N36" i="10"/>
  <c r="N24" i="10"/>
  <c r="N95" i="10"/>
  <c r="N83" i="10"/>
  <c r="N71" i="10"/>
  <c r="N59" i="10"/>
  <c r="N35" i="10"/>
  <c r="N23" i="10"/>
  <c r="N94" i="10"/>
  <c r="N82" i="10"/>
  <c r="N70" i="10"/>
  <c r="N58" i="10"/>
  <c r="N46" i="10"/>
  <c r="N34" i="10"/>
  <c r="N22" i="10"/>
  <c r="N93" i="10"/>
  <c r="N81" i="10"/>
  <c r="N69" i="10"/>
  <c r="N57" i="10"/>
  <c r="N45" i="10"/>
  <c r="N33" i="10"/>
  <c r="N21" i="10"/>
  <c r="N92" i="10"/>
  <c r="N68" i="10"/>
  <c r="N56" i="10"/>
  <c r="N44" i="10"/>
  <c r="N32" i="10"/>
  <c r="N20" i="10"/>
  <c r="N13" i="10"/>
  <c r="N12" i="10"/>
  <c r="N12" i="12"/>
  <c r="N11" i="10"/>
  <c r="N10" i="12"/>
  <c r="N9" i="12"/>
  <c r="N6" i="10"/>
  <c r="N5" i="10"/>
  <c r="N8" i="10"/>
  <c r="N7" i="10"/>
  <c r="N2" i="12"/>
  <c r="N3" i="12"/>
  <c r="N4" i="10"/>
  <c r="N3" i="10"/>
  <c r="N2" i="10"/>
  <c r="N99" i="12"/>
  <c r="N75" i="12"/>
  <c r="N45" i="12"/>
  <c r="N51" i="12"/>
  <c r="N87" i="12"/>
  <c r="N92" i="12"/>
  <c r="N13" i="12"/>
  <c r="N61" i="12"/>
  <c r="N77" i="12"/>
  <c r="N80" i="12"/>
  <c r="N84" i="12"/>
  <c r="N91" i="12"/>
  <c r="N96" i="12"/>
  <c r="N89" i="12"/>
  <c r="N98" i="12"/>
  <c r="N73" i="12"/>
  <c r="N25" i="12"/>
  <c r="N62" i="12"/>
  <c r="N101" i="12"/>
  <c r="N85" i="12"/>
  <c r="N37" i="12"/>
  <c r="N56" i="12"/>
  <c r="N60" i="12"/>
  <c r="N67" i="12"/>
  <c r="N74" i="12"/>
  <c r="N49" i="12"/>
  <c r="N97" i="12"/>
  <c r="A101" i="10" l="1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J3" i="9"/>
  <c r="J4" i="9"/>
  <c r="J5" i="9"/>
  <c r="J6" i="9"/>
  <c r="J7" i="9"/>
  <c r="J8" i="9"/>
  <c r="J9" i="9"/>
  <c r="J10" i="9"/>
  <c r="J11" i="9"/>
  <c r="J12" i="9"/>
  <c r="J13" i="9"/>
  <c r="J2" i="9"/>
  <c r="H3" i="9"/>
  <c r="H4" i="9"/>
  <c r="H5" i="9"/>
  <c r="H6" i="9"/>
  <c r="H7" i="9"/>
  <c r="H8" i="9"/>
  <c r="H9" i="9"/>
  <c r="H10" i="9"/>
  <c r="H11" i="9"/>
  <c r="H12" i="9"/>
  <c r="H13" i="9"/>
  <c r="H96" i="9"/>
  <c r="H97" i="9"/>
  <c r="H98" i="9"/>
  <c r="H99" i="9"/>
  <c r="H100" i="9"/>
  <c r="H2" i="9"/>
  <c r="H101" i="9"/>
  <c r="D101" i="9"/>
  <c r="A101" i="9"/>
  <c r="D100" i="9"/>
  <c r="A100" i="9"/>
  <c r="D99" i="9"/>
  <c r="A99" i="9"/>
  <c r="D98" i="9"/>
  <c r="A98" i="9"/>
  <c r="D97" i="9"/>
  <c r="A97" i="9"/>
  <c r="D96" i="9"/>
  <c r="A96" i="9"/>
  <c r="D95" i="9"/>
  <c r="L95" i="9" s="1"/>
  <c r="A95" i="9"/>
  <c r="D94" i="9"/>
  <c r="L94" i="9" s="1"/>
  <c r="A94" i="9"/>
  <c r="D93" i="9"/>
  <c r="L93" i="9" s="1"/>
  <c r="A93" i="9"/>
  <c r="D92" i="9"/>
  <c r="L92" i="9" s="1"/>
  <c r="A92" i="9"/>
  <c r="D91" i="9"/>
  <c r="L91" i="9" s="1"/>
  <c r="A91" i="9"/>
  <c r="D90" i="9"/>
  <c r="L90" i="9" s="1"/>
  <c r="A90" i="9"/>
  <c r="D89" i="9"/>
  <c r="L89" i="9" s="1"/>
  <c r="A89" i="9"/>
  <c r="D88" i="9"/>
  <c r="L88" i="9" s="1"/>
  <c r="A88" i="9"/>
  <c r="D87" i="9"/>
  <c r="L87" i="9" s="1"/>
  <c r="A87" i="9"/>
  <c r="D86" i="9"/>
  <c r="L86" i="9" s="1"/>
  <c r="A86" i="9"/>
  <c r="D85" i="9"/>
  <c r="L85" i="9" s="1"/>
  <c r="A85" i="9"/>
  <c r="D84" i="9"/>
  <c r="L84" i="9" s="1"/>
  <c r="A84" i="9"/>
  <c r="D83" i="9"/>
  <c r="L83" i="9" s="1"/>
  <c r="A83" i="9"/>
  <c r="D82" i="9"/>
  <c r="L82" i="9" s="1"/>
  <c r="A82" i="9"/>
  <c r="D81" i="9"/>
  <c r="L81" i="9" s="1"/>
  <c r="A81" i="9"/>
  <c r="D80" i="9"/>
  <c r="L80" i="9" s="1"/>
  <c r="A80" i="9"/>
  <c r="D79" i="9"/>
  <c r="L79" i="9" s="1"/>
  <c r="A79" i="9"/>
  <c r="D78" i="9"/>
  <c r="L78" i="9" s="1"/>
  <c r="A78" i="9"/>
  <c r="D77" i="9"/>
  <c r="L77" i="9" s="1"/>
  <c r="A77" i="9"/>
  <c r="D76" i="9"/>
  <c r="L76" i="9" s="1"/>
  <c r="A76" i="9"/>
  <c r="D75" i="9"/>
  <c r="L75" i="9" s="1"/>
  <c r="A75" i="9"/>
  <c r="D74" i="9"/>
  <c r="L74" i="9" s="1"/>
  <c r="A74" i="9"/>
  <c r="D73" i="9"/>
  <c r="L73" i="9" s="1"/>
  <c r="A73" i="9"/>
  <c r="D72" i="9"/>
  <c r="L72" i="9" s="1"/>
  <c r="A72" i="9"/>
  <c r="D71" i="9"/>
  <c r="L71" i="9" s="1"/>
  <c r="A71" i="9"/>
  <c r="D70" i="9"/>
  <c r="L70" i="9" s="1"/>
  <c r="A70" i="9"/>
  <c r="D69" i="9"/>
  <c r="L69" i="9" s="1"/>
  <c r="A69" i="9"/>
  <c r="D68" i="9"/>
  <c r="L68" i="9" s="1"/>
  <c r="A68" i="9"/>
  <c r="D67" i="9"/>
  <c r="L67" i="9" s="1"/>
  <c r="A67" i="9"/>
  <c r="D66" i="9"/>
  <c r="L66" i="9" s="1"/>
  <c r="A66" i="9"/>
  <c r="D65" i="9"/>
  <c r="L65" i="9" s="1"/>
  <c r="A65" i="9"/>
  <c r="D64" i="9"/>
  <c r="L64" i="9" s="1"/>
  <c r="A64" i="9"/>
  <c r="D63" i="9"/>
  <c r="L63" i="9" s="1"/>
  <c r="A63" i="9"/>
  <c r="D62" i="9"/>
  <c r="L62" i="9" s="1"/>
  <c r="A62" i="9"/>
  <c r="D61" i="9"/>
  <c r="L61" i="9" s="1"/>
  <c r="A61" i="9"/>
  <c r="D60" i="9"/>
  <c r="L60" i="9" s="1"/>
  <c r="A60" i="9"/>
  <c r="D59" i="9"/>
  <c r="L59" i="9" s="1"/>
  <c r="A59" i="9"/>
  <c r="D58" i="9"/>
  <c r="L58" i="9" s="1"/>
  <c r="A58" i="9"/>
  <c r="D57" i="9"/>
  <c r="L57" i="9" s="1"/>
  <c r="A57" i="9"/>
  <c r="D56" i="9"/>
  <c r="L56" i="9" s="1"/>
  <c r="A56" i="9"/>
  <c r="D55" i="9"/>
  <c r="L55" i="9" s="1"/>
  <c r="A55" i="9"/>
  <c r="D54" i="9"/>
  <c r="L54" i="9" s="1"/>
  <c r="A54" i="9"/>
  <c r="D53" i="9"/>
  <c r="L53" i="9" s="1"/>
  <c r="A53" i="9"/>
  <c r="D52" i="9"/>
  <c r="L52" i="9" s="1"/>
  <c r="A52" i="9"/>
  <c r="D51" i="9"/>
  <c r="L51" i="9" s="1"/>
  <c r="A51" i="9"/>
  <c r="D50" i="9"/>
  <c r="L50" i="9" s="1"/>
  <c r="A50" i="9"/>
  <c r="D49" i="9"/>
  <c r="L49" i="9" s="1"/>
  <c r="A49" i="9"/>
  <c r="D48" i="9"/>
  <c r="L48" i="9" s="1"/>
  <c r="A48" i="9"/>
  <c r="D47" i="9"/>
  <c r="L47" i="9" s="1"/>
  <c r="A47" i="9"/>
  <c r="D46" i="9"/>
  <c r="L46" i="9" s="1"/>
  <c r="A46" i="9"/>
  <c r="D45" i="9"/>
  <c r="L45" i="9" s="1"/>
  <c r="A45" i="9"/>
  <c r="D44" i="9"/>
  <c r="L44" i="9" s="1"/>
  <c r="A44" i="9"/>
  <c r="D43" i="9"/>
  <c r="L43" i="9" s="1"/>
  <c r="A43" i="9"/>
  <c r="D42" i="9"/>
  <c r="L42" i="9" s="1"/>
  <c r="A42" i="9"/>
  <c r="D41" i="9"/>
  <c r="L41" i="9" s="1"/>
  <c r="A41" i="9"/>
  <c r="D40" i="9"/>
  <c r="L40" i="9" s="1"/>
  <c r="A40" i="9"/>
  <c r="D39" i="9"/>
  <c r="L39" i="9" s="1"/>
  <c r="A39" i="9"/>
  <c r="D38" i="9"/>
  <c r="L38" i="9" s="1"/>
  <c r="A38" i="9"/>
  <c r="D37" i="9"/>
  <c r="L37" i="9" s="1"/>
  <c r="A37" i="9"/>
  <c r="D36" i="9"/>
  <c r="L36" i="9" s="1"/>
  <c r="A36" i="9"/>
  <c r="D35" i="9"/>
  <c r="L35" i="9" s="1"/>
  <c r="A35" i="9"/>
  <c r="D34" i="9"/>
  <c r="L34" i="9" s="1"/>
  <c r="A34" i="9"/>
  <c r="D33" i="9"/>
  <c r="L33" i="9" s="1"/>
  <c r="A33" i="9"/>
  <c r="D32" i="9"/>
  <c r="L32" i="9" s="1"/>
  <c r="A32" i="9"/>
  <c r="D31" i="9"/>
  <c r="L31" i="9" s="1"/>
  <c r="A31" i="9"/>
  <c r="D30" i="9"/>
  <c r="L30" i="9" s="1"/>
  <c r="A30" i="9"/>
  <c r="D29" i="9"/>
  <c r="L29" i="9" s="1"/>
  <c r="A29" i="9"/>
  <c r="D28" i="9"/>
  <c r="L28" i="9" s="1"/>
  <c r="A28" i="9"/>
  <c r="D27" i="9"/>
  <c r="L27" i="9" s="1"/>
  <c r="A27" i="9"/>
  <c r="D26" i="9"/>
  <c r="L26" i="9" s="1"/>
  <c r="A26" i="9"/>
  <c r="D25" i="9"/>
  <c r="L25" i="9" s="1"/>
  <c r="A25" i="9"/>
  <c r="D24" i="9"/>
  <c r="L24" i="9" s="1"/>
  <c r="A24" i="9"/>
  <c r="D23" i="9"/>
  <c r="L23" i="9" s="1"/>
  <c r="A23" i="9"/>
  <c r="D22" i="9"/>
  <c r="L22" i="9" s="1"/>
  <c r="A22" i="9"/>
  <c r="D21" i="9"/>
  <c r="L21" i="9" s="1"/>
  <c r="A21" i="9"/>
  <c r="D20" i="9"/>
  <c r="L20" i="9" s="1"/>
  <c r="A20" i="9"/>
  <c r="D19" i="9"/>
  <c r="L19" i="9" s="1"/>
  <c r="A19" i="9"/>
  <c r="D18" i="9"/>
  <c r="L18" i="9" s="1"/>
  <c r="A18" i="9"/>
  <c r="D17" i="9"/>
  <c r="L17" i="9" s="1"/>
  <c r="A17" i="9"/>
  <c r="D16" i="9"/>
  <c r="L16" i="9" s="1"/>
  <c r="A16" i="9"/>
  <c r="D15" i="9"/>
  <c r="L15" i="9" s="1"/>
  <c r="A15" i="9"/>
  <c r="D14" i="9"/>
  <c r="L14" i="9" s="1"/>
  <c r="A14" i="9"/>
  <c r="D13" i="9"/>
  <c r="A13" i="9"/>
  <c r="D12" i="9"/>
  <c r="A12" i="9"/>
  <c r="D11" i="9"/>
  <c r="A11" i="9"/>
  <c r="D10" i="9"/>
  <c r="A10" i="9"/>
  <c r="D9" i="9"/>
  <c r="A9" i="9"/>
  <c r="D8" i="9"/>
  <c r="A8" i="9"/>
  <c r="D7" i="9"/>
  <c r="A7" i="9"/>
  <c r="D6" i="9"/>
  <c r="A6" i="9"/>
  <c r="D5" i="9"/>
  <c r="A5" i="9"/>
  <c r="D4" i="9"/>
  <c r="A4" i="9"/>
  <c r="D3" i="9"/>
  <c r="A3" i="9"/>
  <c r="D2" i="9"/>
  <c r="A2" i="9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8" i="7"/>
  <c r="A10" i="7"/>
  <c r="A11" i="7"/>
  <c r="A7" i="7"/>
  <c r="A9" i="7"/>
  <c r="A5" i="7"/>
  <c r="A4" i="7"/>
  <c r="A3" i="7"/>
  <c r="A2" i="7"/>
  <c r="A6" i="7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3" i="5"/>
  <c r="A18" i="5"/>
  <c r="A19" i="5"/>
  <c r="A17" i="5"/>
  <c r="A16" i="5"/>
  <c r="A11" i="5"/>
  <c r="A15" i="5"/>
  <c r="A14" i="5"/>
  <c r="A12" i="5"/>
  <c r="A10" i="5"/>
  <c r="A3" i="5"/>
  <c r="A8" i="5"/>
  <c r="A2" i="5"/>
  <c r="A6" i="5"/>
  <c r="A7" i="5"/>
  <c r="A4" i="5"/>
  <c r="A9" i="5"/>
  <c r="A5" i="5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6" i="4"/>
  <c r="A7" i="4"/>
  <c r="A8" i="4"/>
  <c r="A5" i="4"/>
  <c r="A4" i="4"/>
  <c r="A3" i="4"/>
  <c r="A2" i="4"/>
  <c r="L96" i="9" l="1"/>
  <c r="L2" i="9"/>
  <c r="L11" i="9"/>
  <c r="L7" i="9"/>
  <c r="L3" i="9"/>
  <c r="L10" i="9"/>
  <c r="L6" i="9"/>
  <c r="L97" i="9"/>
  <c r="L101" i="9"/>
  <c r="L13" i="9"/>
  <c r="L9" i="9"/>
  <c r="L5" i="9"/>
  <c r="L12" i="9"/>
  <c r="L8" i="9"/>
  <c r="L4" i="9"/>
  <c r="L98" i="9"/>
  <c r="L99" i="9"/>
  <c r="L100" i="9"/>
</calcChain>
</file>

<file path=xl/sharedStrings.xml><?xml version="1.0" encoding="utf-8"?>
<sst xmlns="http://schemas.openxmlformats.org/spreadsheetml/2006/main" count="2725" uniqueCount="740">
  <si>
    <t>تاریخ</t>
  </si>
  <si>
    <t>شماره ماه</t>
  </si>
  <si>
    <t>ماه</t>
  </si>
  <si>
    <t>بخش ها</t>
  </si>
  <si>
    <t>اسامی پرسنل سالن</t>
  </si>
  <si>
    <t>اسامی پرسنل اپراتور</t>
  </si>
  <si>
    <t>اسامی پرسنل صندوق</t>
  </si>
  <si>
    <t>اسامی پرسنل آشپزخانه</t>
  </si>
  <si>
    <t>بخش</t>
  </si>
  <si>
    <t>اسامی پرسنل کانتر</t>
  </si>
  <si>
    <t>اسامی پرسنل ارسال</t>
  </si>
  <si>
    <t>اسامی پرسنل تولید</t>
  </si>
  <si>
    <t>بخش های آشپزخانه</t>
  </si>
  <si>
    <t>کرایه حمل</t>
  </si>
  <si>
    <t>زمان استاندارد</t>
  </si>
  <si>
    <t>نمره</t>
  </si>
  <si>
    <t>گزینه</t>
  </si>
  <si>
    <t>بایرنی</t>
  </si>
  <si>
    <t>فروردین</t>
  </si>
  <si>
    <t>سالن</t>
  </si>
  <si>
    <t>جوان دوست</t>
  </si>
  <si>
    <t>ترکانلو</t>
  </si>
  <si>
    <t>شفیقی</t>
  </si>
  <si>
    <t>ساندویچ</t>
  </si>
  <si>
    <t>خانی</t>
  </si>
  <si>
    <t>فرپیتزا</t>
  </si>
  <si>
    <t>تائید</t>
  </si>
  <si>
    <t>بله</t>
  </si>
  <si>
    <t>اردیبهشت</t>
  </si>
  <si>
    <t>ارسال</t>
  </si>
  <si>
    <t>فر</t>
  </si>
  <si>
    <t>آخوند زاده</t>
  </si>
  <si>
    <t>عدم تائید</t>
  </si>
  <si>
    <t>خیر</t>
  </si>
  <si>
    <t>خرداد</t>
  </si>
  <si>
    <t>کانتر</t>
  </si>
  <si>
    <t>رهنما</t>
  </si>
  <si>
    <t>سوخاری</t>
  </si>
  <si>
    <t>تیر</t>
  </si>
  <si>
    <t>پیک</t>
  </si>
  <si>
    <t>قربانی</t>
  </si>
  <si>
    <t>سیدان</t>
  </si>
  <si>
    <t>پاستا</t>
  </si>
  <si>
    <t>جهاندیده</t>
  </si>
  <si>
    <t>مرداد</t>
  </si>
  <si>
    <t>ساندویج / سوخاری</t>
  </si>
  <si>
    <t>شهریور</t>
  </si>
  <si>
    <t>سلامتی</t>
  </si>
  <si>
    <t>خوشدل</t>
  </si>
  <si>
    <t>ساندویچ / فر</t>
  </si>
  <si>
    <t>مهر</t>
  </si>
  <si>
    <t>ساندویچ / پاستا</t>
  </si>
  <si>
    <t>آبان</t>
  </si>
  <si>
    <t>فر / سوخاری</t>
  </si>
  <si>
    <t>آذر</t>
  </si>
  <si>
    <t>دیسپلی</t>
  </si>
  <si>
    <t>فر / پاستا</t>
  </si>
  <si>
    <t>رحیمی</t>
  </si>
  <si>
    <t>دی</t>
  </si>
  <si>
    <t>اپراتور</t>
  </si>
  <si>
    <t>سوخاری / پاستا</t>
  </si>
  <si>
    <t>بهمن</t>
  </si>
  <si>
    <t>صندوق</t>
  </si>
  <si>
    <t>مسعودی</t>
  </si>
  <si>
    <t>اسفند</t>
  </si>
  <si>
    <t>دیس پلی</t>
  </si>
  <si>
    <t>صفری</t>
  </si>
  <si>
    <t>حسن زاده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</si>
  <si>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</si>
  <si>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</si>
  <si>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</si>
  <si>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</si>
  <si>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</si>
  <si>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</si>
  <si>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</si>
  <si>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</si>
  <si>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</si>
  <si>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</si>
  <si>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</si>
  <si>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</si>
  <si>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</si>
  <si>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</si>
  <si>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</si>
  <si>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</si>
  <si>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</si>
  <si>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</si>
  <si>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</si>
  <si>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</si>
  <si>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</si>
  <si>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</si>
  <si>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</si>
  <si>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</si>
  <si>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</si>
  <si>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</si>
  <si>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</si>
  <si>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</si>
  <si>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</si>
  <si>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</si>
  <si>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</si>
  <si>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</si>
  <si>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</si>
  <si>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</si>
  <si>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</si>
  <si>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</si>
  <si>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</si>
  <si>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</si>
  <si>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</si>
  <si>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</si>
  <si>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</si>
  <si>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</si>
  <si>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</si>
  <si>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</si>
  <si>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</si>
  <si>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</si>
  <si>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</si>
  <si>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</si>
  <si>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</si>
  <si>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</si>
  <si>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</si>
  <si>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</si>
  <si>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</si>
  <si>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</si>
  <si>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</si>
  <si>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</si>
  <si>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</si>
  <si>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</si>
  <si>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</si>
  <si>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</si>
  <si>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</si>
  <si>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</si>
  <si>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</si>
  <si>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</si>
  <si>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</si>
  <si>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</si>
  <si>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</si>
  <si>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</si>
  <si>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</si>
  <si>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</si>
  <si>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</si>
  <si>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</si>
  <si>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</si>
  <si>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</si>
  <si>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</si>
  <si>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</si>
  <si>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</si>
  <si>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</si>
  <si>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</si>
  <si>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</si>
  <si>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</si>
  <si>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</si>
  <si>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</si>
  <si>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</si>
  <si>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</si>
  <si>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</si>
  <si>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</si>
  <si>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</si>
  <si>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</si>
  <si>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</si>
  <si>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</si>
  <si>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</si>
  <si>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</si>
  <si>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</si>
  <si>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</si>
  <si>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</si>
  <si>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</si>
  <si>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</si>
  <si>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</si>
  <si>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</si>
  <si>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</si>
  <si>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</si>
  <si>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</si>
  <si>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</si>
  <si>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</si>
  <si>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</si>
  <si>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</si>
  <si>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</si>
  <si>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</si>
  <si>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</si>
  <si>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</si>
  <si>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</si>
  <si>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</si>
  <si>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</si>
  <si>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</si>
  <si>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</si>
  <si>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</si>
  <si>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</si>
  <si>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</si>
  <si>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</si>
  <si>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</si>
  <si>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</si>
  <si>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</si>
  <si>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</si>
  <si>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</si>
  <si>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</si>
  <si>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</si>
  <si>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</si>
  <si>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</si>
  <si>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</si>
  <si>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</si>
  <si>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</si>
  <si>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</si>
  <si>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</si>
  <si>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</si>
  <si>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</si>
  <si>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</si>
  <si>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</si>
  <si>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</si>
  <si>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</si>
  <si>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</si>
  <si>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</si>
  <si>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</si>
  <si>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</si>
  <si>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</si>
  <si>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</si>
  <si>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</si>
  <si>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</si>
  <si>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</si>
  <si>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</si>
  <si>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</si>
  <si>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</si>
  <si>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</si>
  <si>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</si>
  <si>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</si>
  <si>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</si>
  <si>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</si>
  <si>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</si>
  <si>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</si>
  <si>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</si>
  <si>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</si>
  <si>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</si>
  <si>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</si>
  <si>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</si>
  <si>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</si>
  <si>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</si>
  <si>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</si>
  <si>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</si>
  <si>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</si>
  <si>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</si>
  <si>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</si>
  <si>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</si>
  <si>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</si>
  <si>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</si>
  <si>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</si>
  <si>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</si>
  <si>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</si>
  <si>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</si>
  <si>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</si>
  <si>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</si>
  <si>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</si>
  <si>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</si>
  <si>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</si>
  <si>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</si>
  <si>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</si>
  <si>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</si>
  <si>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</si>
  <si>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</si>
  <si>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</si>
  <si>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</si>
  <si>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</si>
  <si>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</si>
  <si>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</si>
  <si>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</si>
  <si>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</si>
  <si>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</si>
  <si>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</si>
  <si>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</si>
  <si>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</si>
  <si>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</si>
  <si>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</si>
  <si>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</si>
  <si>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</si>
  <si>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</si>
  <si>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</si>
  <si>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</si>
  <si>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</si>
  <si>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</si>
  <si>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</si>
  <si>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</si>
  <si>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</si>
  <si>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</si>
  <si>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</si>
  <si>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</si>
  <si>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</si>
  <si>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</si>
  <si>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</si>
  <si>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</si>
  <si>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</si>
  <si>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</si>
  <si>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</si>
  <si>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</si>
  <si>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</si>
  <si>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</si>
  <si>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</si>
  <si>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</si>
  <si>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</si>
  <si>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</si>
  <si>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</si>
  <si>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</si>
  <si>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</si>
  <si>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</si>
  <si>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</si>
  <si>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</si>
  <si>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</si>
  <si>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</si>
  <si>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</si>
  <si>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</si>
  <si>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</si>
  <si>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</si>
  <si>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</si>
  <si>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</si>
  <si>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</si>
  <si>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</si>
  <si>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</si>
  <si>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</si>
  <si>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</si>
  <si>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</si>
  <si>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</si>
  <si>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</si>
  <si>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</si>
  <si>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</si>
  <si>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</si>
  <si>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</si>
  <si>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</si>
  <si>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</si>
  <si>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</si>
  <si>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</si>
  <si>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</si>
  <si>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</si>
  <si>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</si>
  <si>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</si>
  <si>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</si>
  <si>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</si>
  <si>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</si>
  <si>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</si>
  <si>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</si>
  <si>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</si>
  <si>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</si>
  <si>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</si>
  <si>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</si>
  <si>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</si>
  <si>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</si>
  <si>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سال</t>
  </si>
  <si>
    <t>نام و نام خانوادگی</t>
  </si>
  <si>
    <t>ردیف</t>
  </si>
  <si>
    <t>تاخیر</t>
  </si>
  <si>
    <t>سردی غذا</t>
  </si>
  <si>
    <t>محاسبه پاداش</t>
  </si>
  <si>
    <t xml:space="preserve">مغایرت نوشیدنی </t>
  </si>
  <si>
    <t>نارضایتی غذا</t>
  </si>
  <si>
    <t>Column1</t>
  </si>
  <si>
    <t>Column2</t>
  </si>
  <si>
    <t>Column3</t>
  </si>
  <si>
    <t>Column4</t>
  </si>
  <si>
    <t>Column5</t>
  </si>
  <si>
    <t>عباسی</t>
  </si>
  <si>
    <t>-</t>
  </si>
  <si>
    <t>تاخیر 20</t>
  </si>
  <si>
    <t>سردی غذا 30</t>
  </si>
  <si>
    <t>مغایرت 30</t>
  </si>
  <si>
    <t>امتیاز 1 یا 2   15</t>
  </si>
  <si>
    <t>3فیش 5</t>
  </si>
  <si>
    <t>رفتار 100</t>
  </si>
  <si>
    <t>اشتباه 20</t>
  </si>
  <si>
    <t>تاخیر غذا 20</t>
  </si>
  <si>
    <t>سردی غذا 50</t>
  </si>
  <si>
    <t>تماس از دست رفته 2</t>
  </si>
  <si>
    <t>آدرس اشتباه در ثبت سفارش 20</t>
  </si>
  <si>
    <t>ویس لحن و رفتار نامناسب 30</t>
  </si>
  <si>
    <t>تاخیر غذا 30</t>
  </si>
  <si>
    <t>.</t>
  </si>
  <si>
    <t>تایم بالای 20 دقیقه</t>
  </si>
  <si>
    <t>1405/05/01</t>
  </si>
  <si>
    <t>1405/05/02</t>
  </si>
  <si>
    <t>1405/05/03</t>
  </si>
  <si>
    <t>1405/05/04</t>
  </si>
  <si>
    <t>1405/05/05</t>
  </si>
  <si>
    <t>1405/05/06</t>
  </si>
  <si>
    <t>1405/05/07</t>
  </si>
  <si>
    <t>1405/05/08</t>
  </si>
  <si>
    <t>1405/05/09</t>
  </si>
  <si>
    <t>1405/05/10</t>
  </si>
  <si>
    <t>1405/05/11</t>
  </si>
  <si>
    <t>1405/05/12</t>
  </si>
  <si>
    <t>1405/05/13</t>
  </si>
  <si>
    <t>1405/05/14</t>
  </si>
  <si>
    <t>1405/05/15</t>
  </si>
  <si>
    <t>1405/05/16</t>
  </si>
  <si>
    <t>1405/05/17</t>
  </si>
  <si>
    <t>1405/05/18</t>
  </si>
  <si>
    <t>1405/05/19</t>
  </si>
  <si>
    <t>1405/05/20</t>
  </si>
  <si>
    <t>1405/05/21</t>
  </si>
  <si>
    <t>1405/05/22</t>
  </si>
  <si>
    <t>1405/05/23</t>
  </si>
  <si>
    <t>1405/05/24</t>
  </si>
  <si>
    <t>1405/05/25</t>
  </si>
  <si>
    <t>1405/05/26</t>
  </si>
  <si>
    <t>1405/05/27</t>
  </si>
  <si>
    <t>1405/05/28</t>
  </si>
  <si>
    <t>1405/05/29</t>
  </si>
  <si>
    <t>1405/05/30</t>
  </si>
  <si>
    <t>1405/05/31</t>
  </si>
  <si>
    <t>1405/06/01</t>
  </si>
  <si>
    <t>1405/06/02</t>
  </si>
  <si>
    <t>1405/06/03</t>
  </si>
  <si>
    <t>1405/06/04</t>
  </si>
  <si>
    <t>1405/06/05</t>
  </si>
  <si>
    <t>1405/06/06</t>
  </si>
  <si>
    <t>1405/06/07</t>
  </si>
  <si>
    <t>1405/06/08</t>
  </si>
  <si>
    <t>1405/06/09</t>
  </si>
  <si>
    <t>1405/06/10</t>
  </si>
  <si>
    <t>1405/06/11</t>
  </si>
  <si>
    <t>1405/06/12</t>
  </si>
  <si>
    <t>1405/06/13</t>
  </si>
  <si>
    <t>1405/06/14</t>
  </si>
  <si>
    <t>1405/06/15</t>
  </si>
  <si>
    <t>1405/06/16</t>
  </si>
  <si>
    <t>1405/06/17</t>
  </si>
  <si>
    <t>1405/06/18</t>
  </si>
  <si>
    <t>1405/06/19</t>
  </si>
  <si>
    <t>1405/06/20</t>
  </si>
  <si>
    <t>1405/06/21</t>
  </si>
  <si>
    <t>1405/06/22</t>
  </si>
  <si>
    <t>1405/06/23</t>
  </si>
  <si>
    <t>1405/06/24</t>
  </si>
  <si>
    <t>1405/06/25</t>
  </si>
  <si>
    <t>1405/06/26</t>
  </si>
  <si>
    <t>1405/06/27</t>
  </si>
  <si>
    <t>1405/06/28</t>
  </si>
  <si>
    <t>1405/06/29</t>
  </si>
  <si>
    <t>1405/06/30</t>
  </si>
  <si>
    <t>1405/06/31</t>
  </si>
  <si>
    <t>1405/07/01</t>
  </si>
  <si>
    <t>1405/07/02</t>
  </si>
  <si>
    <t>1405/07/03</t>
  </si>
  <si>
    <t>1405/07/04</t>
  </si>
  <si>
    <t>1405/07/05</t>
  </si>
  <si>
    <t>1405/07/06</t>
  </si>
  <si>
    <t>1405/07/07</t>
  </si>
  <si>
    <t>1405/07/08</t>
  </si>
  <si>
    <t>1405/07/09</t>
  </si>
  <si>
    <t>1405/07/10</t>
  </si>
  <si>
    <t>1405/07/11</t>
  </si>
  <si>
    <t>1405/07/12</t>
  </si>
  <si>
    <t>1405/07/13</t>
  </si>
  <si>
    <t>1405/07/14</t>
  </si>
  <si>
    <t>1405/07/15</t>
  </si>
  <si>
    <t>1405/07/16</t>
  </si>
  <si>
    <t>1405/07/17</t>
  </si>
  <si>
    <t>1405/07/18</t>
  </si>
  <si>
    <t>1405/07/19</t>
  </si>
  <si>
    <t>1405/07/20</t>
  </si>
  <si>
    <t>1405/07/21</t>
  </si>
  <si>
    <t>1405/07/22</t>
  </si>
  <si>
    <t>1405/07/23</t>
  </si>
  <si>
    <t>1405/07/24</t>
  </si>
  <si>
    <t>1405/07/25</t>
  </si>
  <si>
    <t>1405/07/26</t>
  </si>
  <si>
    <t>1405/07/27</t>
  </si>
  <si>
    <t>1405/07/28</t>
  </si>
  <si>
    <t>1405/07/29</t>
  </si>
  <si>
    <t>1405/07/30</t>
  </si>
  <si>
    <t>1405/08/01</t>
  </si>
  <si>
    <t>1405/08/02</t>
  </si>
  <si>
    <t>1405/08/03</t>
  </si>
  <si>
    <t>1405/08/04</t>
  </si>
  <si>
    <t>1405/08/05</t>
  </si>
  <si>
    <t>1405/08/06</t>
  </si>
  <si>
    <t>1405/08/07</t>
  </si>
  <si>
    <t>1405/08/08</t>
  </si>
  <si>
    <t>1405/08/09</t>
  </si>
  <si>
    <t>1405/08/10</t>
  </si>
  <si>
    <t>1405/08/11</t>
  </si>
  <si>
    <t>1405/08/12</t>
  </si>
  <si>
    <t>1405/08/13</t>
  </si>
  <si>
    <t>1405/08/14</t>
  </si>
  <si>
    <t>1405/08/15</t>
  </si>
  <si>
    <t>1405/08/16</t>
  </si>
  <si>
    <t>1405/08/17</t>
  </si>
  <si>
    <t>1405/08/18</t>
  </si>
  <si>
    <t>1405/08/19</t>
  </si>
  <si>
    <t>1405/08/20</t>
  </si>
  <si>
    <t>1405/08/21</t>
  </si>
  <si>
    <t>1405/08/22</t>
  </si>
  <si>
    <t>1405/08/23</t>
  </si>
  <si>
    <t>1405/08/24</t>
  </si>
  <si>
    <t>1405/08/25</t>
  </si>
  <si>
    <t>1405/08/26</t>
  </si>
  <si>
    <t>1405/08/27</t>
  </si>
  <si>
    <t>1405/08/28</t>
  </si>
  <si>
    <t>1405/08/29</t>
  </si>
  <si>
    <t>1405/08/30</t>
  </si>
  <si>
    <t>1405/09/01</t>
  </si>
  <si>
    <t>1405/09/02</t>
  </si>
  <si>
    <t>1405/09/03</t>
  </si>
  <si>
    <t>1405/09/04</t>
  </si>
  <si>
    <t>1405/09/05</t>
  </si>
  <si>
    <t>1405/09/06</t>
  </si>
  <si>
    <t>1405/09/07</t>
  </si>
  <si>
    <t>1405/09/08</t>
  </si>
  <si>
    <t>1405/09/09</t>
  </si>
  <si>
    <t>1405/09/10</t>
  </si>
  <si>
    <t>1405/09/11</t>
  </si>
  <si>
    <t>1405/09/12</t>
  </si>
  <si>
    <t>1405/09/13</t>
  </si>
  <si>
    <t>1405/09/14</t>
  </si>
  <si>
    <t>1405/09/15</t>
  </si>
  <si>
    <t>1405/09/16</t>
  </si>
  <si>
    <t>1405/09/17</t>
  </si>
  <si>
    <t>1405/09/18</t>
  </si>
  <si>
    <t>1405/09/19</t>
  </si>
  <si>
    <t>1405/09/20</t>
  </si>
  <si>
    <t>1405/09/21</t>
  </si>
  <si>
    <t>1405/09/22</t>
  </si>
  <si>
    <t>1405/09/23</t>
  </si>
  <si>
    <t>1405/09/24</t>
  </si>
  <si>
    <t>1405/09/25</t>
  </si>
  <si>
    <t>1405/09/26</t>
  </si>
  <si>
    <t>1405/09/27</t>
  </si>
  <si>
    <t>1405/09/28</t>
  </si>
  <si>
    <t>1405/09/29</t>
  </si>
  <si>
    <t>1405/09/30</t>
  </si>
  <si>
    <t>1405/10/01</t>
  </si>
  <si>
    <t>1405/10/02</t>
  </si>
  <si>
    <t>1405/10/03</t>
  </si>
  <si>
    <t>1405/10/04</t>
  </si>
  <si>
    <t>1405/10/05</t>
  </si>
  <si>
    <t>1405/10/06</t>
  </si>
  <si>
    <t>1405/10/07</t>
  </si>
  <si>
    <t>1405/10/08</t>
  </si>
  <si>
    <t>1405/10/09</t>
  </si>
  <si>
    <t>1405/10/10</t>
  </si>
  <si>
    <t>1405/10/11</t>
  </si>
  <si>
    <t>1405/10/12</t>
  </si>
  <si>
    <t>1405/10/13</t>
  </si>
  <si>
    <t>1405/10/14</t>
  </si>
  <si>
    <t>1405/10/15</t>
  </si>
  <si>
    <t>1405/10/16</t>
  </si>
  <si>
    <t>1405/10/17</t>
  </si>
  <si>
    <t>1405/10/18</t>
  </si>
  <si>
    <t>1405/10/19</t>
  </si>
  <si>
    <t>1405/10/20</t>
  </si>
  <si>
    <t>1405/10/21</t>
  </si>
  <si>
    <t>1405/10/22</t>
  </si>
  <si>
    <t>1405/10/23</t>
  </si>
  <si>
    <t>1405/10/24</t>
  </si>
  <si>
    <t>1405/10/25</t>
  </si>
  <si>
    <t>1405/10/26</t>
  </si>
  <si>
    <t>1405/10/27</t>
  </si>
  <si>
    <t>1405/10/28</t>
  </si>
  <si>
    <t>1405/10/29</t>
  </si>
  <si>
    <t>1405/10/30</t>
  </si>
  <si>
    <t>1405/11/01</t>
  </si>
  <si>
    <t>1405/11/02</t>
  </si>
  <si>
    <t>1405/11/03</t>
  </si>
  <si>
    <t>1405/11/04</t>
  </si>
  <si>
    <t>1405/11/05</t>
  </si>
  <si>
    <t>1405/11/06</t>
  </si>
  <si>
    <t>1405/11/07</t>
  </si>
  <si>
    <t>1405/11/08</t>
  </si>
  <si>
    <t>1405/11/09</t>
  </si>
  <si>
    <t>1405/11/10</t>
  </si>
  <si>
    <t>1405/11/11</t>
  </si>
  <si>
    <t>1405/11/12</t>
  </si>
  <si>
    <t>1405/11/13</t>
  </si>
  <si>
    <t>1405/11/14</t>
  </si>
  <si>
    <t>1405/11/15</t>
  </si>
  <si>
    <t>1405/11/16</t>
  </si>
  <si>
    <t>1405/11/17</t>
  </si>
  <si>
    <t>1405/11/18</t>
  </si>
  <si>
    <t>1405/11/19</t>
  </si>
  <si>
    <t>1405/11/20</t>
  </si>
  <si>
    <t>1405/11/21</t>
  </si>
  <si>
    <t>1405/11/22</t>
  </si>
  <si>
    <t>1405/11/23</t>
  </si>
  <si>
    <t>1405/11/24</t>
  </si>
  <si>
    <t>1405/11/25</t>
  </si>
  <si>
    <t>1405/11/26</t>
  </si>
  <si>
    <t>1405/11/27</t>
  </si>
  <si>
    <t>1405/11/28</t>
  </si>
  <si>
    <t>1405/11/29</t>
  </si>
  <si>
    <t>1405/11/30</t>
  </si>
  <si>
    <t>اسمائیلی</t>
  </si>
  <si>
    <t>خیرخواه</t>
  </si>
  <si>
    <t>فاضلی</t>
  </si>
  <si>
    <t>سجادپور</t>
  </si>
  <si>
    <t>یعقوب نژاد</t>
  </si>
  <si>
    <t>شهاب احمدی</t>
  </si>
  <si>
    <t>مظفری</t>
  </si>
  <si>
    <t>باغ خوانی</t>
  </si>
  <si>
    <t>غازی</t>
  </si>
  <si>
    <t>دل بینا</t>
  </si>
  <si>
    <t>فیضی</t>
  </si>
  <si>
    <t>آشوری</t>
  </si>
  <si>
    <t>محمدی</t>
  </si>
  <si>
    <t>خوش خصلت</t>
  </si>
  <si>
    <t>موذنی</t>
  </si>
  <si>
    <t>هاشم زهی</t>
  </si>
  <si>
    <t>مجیدی</t>
  </si>
  <si>
    <t>زنگنه</t>
  </si>
  <si>
    <t>ثابت</t>
  </si>
  <si>
    <t>قاسمی</t>
  </si>
  <si>
    <t>حسین زاده</t>
  </si>
  <si>
    <t>فاضل</t>
  </si>
  <si>
    <t>Row</t>
  </si>
  <si>
    <t>Year</t>
  </si>
  <si>
    <t>Month</t>
  </si>
  <si>
    <t>Week</t>
  </si>
  <si>
    <t>Full name</t>
  </si>
  <si>
    <t>responsible</t>
  </si>
  <si>
    <t>System</t>
  </si>
  <si>
    <t>camera</t>
  </si>
  <si>
    <t>Human resources</t>
  </si>
  <si>
    <t>Score</t>
  </si>
  <si>
    <t>Sales team</t>
  </si>
  <si>
    <t>hygiene</t>
  </si>
  <si>
    <t>inspector</t>
  </si>
  <si>
    <t>انگلیسی</t>
  </si>
  <si>
    <t>فارسی</t>
  </si>
  <si>
    <t>هفته</t>
  </si>
  <si>
    <t>Full Name</t>
  </si>
  <si>
    <t>Discipline in entry and exit</t>
  </si>
  <si>
    <t>نظم ورود و خروج</t>
  </si>
  <si>
    <t>Fingerprint registration</t>
  </si>
  <si>
    <t>ثبت صحیح انگشتی</t>
  </si>
  <si>
    <t>Overall assessment</t>
  </si>
  <si>
    <t>ارزیابی کل</t>
  </si>
  <si>
    <t>Clothing</t>
  </si>
  <si>
    <t>لباس</t>
  </si>
  <si>
    <t>Haircut</t>
  </si>
  <si>
    <t>تمیزی سر وصورت</t>
  </si>
  <si>
    <t>Shoes</t>
  </si>
  <si>
    <t>کفش</t>
  </si>
  <si>
    <t>Trousers</t>
  </si>
  <si>
    <t>شلوار</t>
  </si>
  <si>
    <t>Encounter</t>
  </si>
  <si>
    <t>نوع برخورد</t>
  </si>
  <si>
    <t>Performing duties</t>
  </si>
  <si>
    <t>انجام وظایف محوله</t>
  </si>
  <si>
    <t>Speed</t>
  </si>
  <si>
    <t>سرعت</t>
  </si>
  <si>
    <t>Performance</t>
  </si>
  <si>
    <t>عملکرد</t>
  </si>
  <si>
    <t>Cost control</t>
  </si>
  <si>
    <t>کنترل هزینه</t>
  </si>
  <si>
    <t>Trainability</t>
  </si>
  <si>
    <t>آموزش پذیری</t>
  </si>
  <si>
    <t>Coverage</t>
  </si>
  <si>
    <t>پوشش</t>
  </si>
  <si>
    <t>Follow-up</t>
  </si>
  <si>
    <t>پیگیری سفارشات</t>
  </si>
  <si>
    <t>Accuracy in recording receipts</t>
  </si>
  <si>
    <t>دقت در ثبت</t>
  </si>
  <si>
    <t>Sales prowess</t>
  </si>
  <si>
    <t>قدرت فروشندگی</t>
  </si>
  <si>
    <t>accuracy</t>
  </si>
  <si>
    <t>دقت</t>
  </si>
  <si>
    <t>Inter-sectoral coordination</t>
  </si>
  <si>
    <t>هماهنگی بین بخش</t>
  </si>
  <si>
    <t>Submit statistics</t>
  </si>
  <si>
    <t>ارسال آمار</t>
  </si>
  <si>
    <t>Skill</t>
  </si>
  <si>
    <t>مهارت</t>
  </si>
  <si>
    <t>Maintaining hygiene</t>
  </si>
  <si>
    <t>رعایت بهداشت</t>
  </si>
  <si>
    <t>Occupational hygiene</t>
  </si>
  <si>
    <t>بهداشت حین کار</t>
  </si>
  <si>
    <t>Compliance with regulations</t>
  </si>
  <si>
    <t>رعایت قوانین</t>
  </si>
  <si>
    <t>Following the recipe</t>
  </si>
  <si>
    <t>رعایت رسپی</t>
  </si>
  <si>
    <t>discipline</t>
  </si>
  <si>
    <t>نظم</t>
  </si>
  <si>
    <t>Violations</t>
  </si>
  <si>
    <t>تخلفات</t>
  </si>
  <si>
    <t>Response speed</t>
  </si>
  <si>
    <t>سرعت پاسخگویی</t>
  </si>
  <si>
    <t>Uniform</t>
  </si>
  <si>
    <t>لباس فرم</t>
  </si>
  <si>
    <t>Grazing</t>
  </si>
  <si>
    <t>ریزه خواری</t>
  </si>
  <si>
    <t>Fast cooking</t>
  </si>
  <si>
    <t>سرعت طبخ غذا</t>
  </si>
  <si>
    <t>Workplace cleanliness</t>
  </si>
  <si>
    <t>تمیزی محیط کار</t>
  </si>
  <si>
    <t>Punctual attendance</t>
  </si>
  <si>
    <t>حضور بموقع</t>
  </si>
  <si>
    <t>Active participation</t>
  </si>
  <si>
    <t>حضور فعال</t>
  </si>
  <si>
    <t>Health Card</t>
  </si>
  <si>
    <t>کارت بهداشت</t>
  </si>
  <si>
    <t>Health Certificate</t>
  </si>
  <si>
    <t>گواهینامه بهداشت</t>
  </si>
  <si>
    <t>Checklist</t>
  </si>
  <si>
    <t>چک لیست</t>
  </si>
  <si>
    <t>Storage Instructions for Materials</t>
  </si>
  <si>
    <t>نحوه نگهداری مواد</t>
  </si>
  <si>
    <t>Critical signs</t>
  </si>
  <si>
    <t>علائم بحرانی</t>
  </si>
  <si>
    <t>Date</t>
  </si>
  <si>
    <t>Direct definition</t>
  </si>
  <si>
    <t>تعریف مستقیم</t>
  </si>
  <si>
    <t>Venue Rating</t>
  </si>
  <si>
    <t>نمره سالن</t>
  </si>
  <si>
    <t>Timely registration</t>
  </si>
  <si>
    <t>ثبت بموقع فیش</t>
  </si>
  <si>
    <t>Delay</t>
  </si>
  <si>
    <t>Snapp Rating</t>
  </si>
  <si>
    <t>امتیاز اسنپ</t>
  </si>
  <si>
    <t>Tapsi Rating</t>
  </si>
  <si>
    <t>امتیاز تپسی</t>
  </si>
  <si>
    <t>Snapp and Tapsi 1 and 2 ratings</t>
  </si>
  <si>
    <t>تعداد 1 و 2 اسنپ و تپسی</t>
  </si>
  <si>
    <t>Voice message review</t>
  </si>
  <si>
    <t>بررسی ویس</t>
  </si>
  <si>
    <t>Telephone-based scoring</t>
  </si>
  <si>
    <t>امتیاز تلفنی</t>
  </si>
  <si>
    <t>Sales volume of potatoes and mushrooms</t>
  </si>
  <si>
    <t>مقدار فروش سیب و قارچ</t>
  </si>
  <si>
    <t>Sales volume of mojito and lemonade</t>
  </si>
  <si>
    <t>مقدار فروش لیموناد و موهیتو</t>
  </si>
  <si>
    <t>Section</t>
  </si>
  <si>
    <t>Dissatisfaction with quality</t>
  </si>
  <si>
    <t>تعداد نارضایتی از کیفیت</t>
  </si>
  <si>
    <t>Kitchen Rating</t>
  </si>
  <si>
    <t>نمره آشپزخانه</t>
  </si>
  <si>
    <t>Dissatisfaction with the kitchen</t>
  </si>
  <si>
    <t>تعداد نارضایتی از آشپزخانه</t>
  </si>
  <si>
    <t>The coldness of the food</t>
  </si>
  <si>
    <t>Production Score</t>
  </si>
  <si>
    <t>نمره تولید</t>
  </si>
  <si>
    <t>مسئول</t>
  </si>
  <si>
    <t>سیستم</t>
  </si>
  <si>
    <t>Camera</t>
  </si>
  <si>
    <t>دوربین</t>
  </si>
  <si>
    <t>منابع انسانی</t>
  </si>
  <si>
    <t>تیم فروش</t>
  </si>
  <si>
    <t>بهداشت</t>
  </si>
  <si>
    <t>بازرس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</si>
</sst>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sz val="14"/>
      <color theme="1"/>
      <name val="B Nazanin"/>
      <charset val="178"/>
    </font>
    <font>
      <sz val="14"/>
      <name val="B Nazanin"/>
      <charset val="178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rgb="FF000000"/>
      <name val="Aptos Narrow"/>
      <family val="2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sz val="16"/>
      <color rgb="FF000000"/>
      <name val="Aptos Narrow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74">
    <dxf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Nazani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Nazanin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Nazanin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L303" totalsRowShown="0" headerRowDxfId="73" dataDxfId="71" headerRowBorderDxfId="72" tableBorderDxfId="70" totalsRowBorderDxfId="69">
  <autoFilter ref="A1:L303" xr:uid="{00000000-0009-0000-0100-000004000000}"/>
  <tableColumns count="12">
    <tableColumn id="1" xr3:uid="{00000000-0010-0000-0000-000001000000}" name="ردیف" dataDxfId="68">
      <calculatedColumnFormula>ROW(A2)-1</calculatedColumnFormula>
    </tableColumn>
    <tableColumn id="2" xr3:uid="{00000000-0010-0000-0000-000002000000}" name="تاریخ" dataDxfId="67"/>
    <tableColumn id="3" xr3:uid="{00000000-0010-0000-0000-000003000000}" name="نام و نام خانوادگی" dataDxfId="66"/>
    <tableColumn id="4" xr3:uid="{00000000-0010-0000-0000-000004000000}" name="Column1" dataDxfId="65">
      <calculatedColumnFormula>E2*20000</calculatedColumnFormula>
    </tableColumn>
    <tableColumn id="5" xr3:uid="{00000000-0010-0000-0000-000005000000}" name="تاخیر" dataDxfId="64"/>
    <tableColumn id="6" xr3:uid="{00000000-0010-0000-0000-000006000000}" name="Column2" dataDxfId="63">
      <calculatedColumnFormula>G2*40000*2</calculatedColumnFormula>
    </tableColumn>
    <tableColumn id="7" xr3:uid="{00000000-0010-0000-0000-000007000000}" name="سردی غذا" dataDxfId="62"/>
    <tableColumn id="8" xr3:uid="{00000000-0010-0000-0000-000008000000}" name="Column3" dataDxfId="61"/>
    <tableColumn id="9" xr3:uid="{00000000-0010-0000-0000-000009000000}" name="مغایرت نوشیدنی " dataDxfId="60"/>
    <tableColumn id="10" xr3:uid="{00000000-0010-0000-0000-00000A000000}" name="Column4" dataDxfId="59">
      <calculatedColumnFormula>K2*20000</calculatedColumnFormula>
    </tableColumn>
    <tableColumn id="11" xr3:uid="{00000000-0010-0000-0000-00000B000000}" name="نارضایتی غذا" dataDxfId="58"/>
    <tableColumn id="12" xr3:uid="{00000000-0010-0000-0000-00000C000000}" name="محاسبه پاداش" dataDxfId="57">
      <calculatedColumnFormula>200000-H2-F2-D2-J2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N305" totalsRowShown="0" headerRowDxfId="56" dataDxfId="54" headerRowBorderDxfId="55" tableBorderDxfId="53" totalsRowBorderDxfId="52">
  <autoFilter ref="A1:N305" xr:uid="{00000000-0009-0000-0100-000003000000}"/>
  <tableColumns count="14">
    <tableColumn id="1" xr3:uid="{00000000-0010-0000-0100-000001000000}" name="ردیف" dataDxfId="51">
      <calculatedColumnFormula>ROW(A2)-1</calculatedColumnFormula>
    </tableColumn>
    <tableColumn id="2" xr3:uid="{00000000-0010-0000-0100-000002000000}" name="تاریخ" dataDxfId="50"/>
    <tableColumn id="3" xr3:uid="{00000000-0010-0000-0100-000003000000}" name="نام و نام خانوادگی" dataDxfId="49"/>
    <tableColumn id="4" xr3:uid="{00000000-0010-0000-0100-000004000000}" name="Column1" dataDxfId="48">
      <calculatedColumnFormula>E2*20000</calculatedColumnFormula>
    </tableColumn>
    <tableColumn id="5" xr3:uid="{00000000-0010-0000-0100-000005000000}" name="تاخیر 20" dataDxfId="47"/>
    <tableColumn id="6" xr3:uid="{00000000-0010-0000-0100-000006000000}" name="Column2" dataDxfId="46">
      <calculatedColumnFormula>G2*30000</calculatedColumnFormula>
    </tableColumn>
    <tableColumn id="7" xr3:uid="{00000000-0010-0000-0100-000007000000}" name="سردی غذا 30" dataDxfId="45"/>
    <tableColumn id="8" xr3:uid="{00000000-0010-0000-0100-000008000000}" name="Column3" dataDxfId="44">
      <calculatedColumnFormula>I2*30000</calculatedColumnFormula>
    </tableColumn>
    <tableColumn id="9" xr3:uid="{00000000-0010-0000-0100-000009000000}" name="مغایرت 30" dataDxfId="43"/>
    <tableColumn id="10" xr3:uid="{00000000-0010-0000-0100-00000A000000}" name="Column4" dataDxfId="42">
      <calculatedColumnFormula>K2*3000</calculatedColumnFormula>
    </tableColumn>
    <tableColumn id="11" xr3:uid="{00000000-0010-0000-0100-00000B000000}" name="تایم بالای 20 دقیقه" dataDxfId="41"/>
    <tableColumn id="12" xr3:uid="{00000000-0010-0000-0100-00000C000000}" name="Column5" dataDxfId="40">
      <calculatedColumnFormula>M2*15000</calculatedColumnFormula>
    </tableColumn>
    <tableColumn id="13" xr3:uid="{00000000-0010-0000-0100-00000D000000}" name="امتیاز 1 یا 2   15" dataDxfId="39"/>
    <tableColumn id="14" xr3:uid="{00000000-0010-0000-0100-00000E000000}" name="محاسبه پاداش" dataDxfId="38">
      <calculatedColumnFormula>400000-L2-H2-F2-D2-Table3[[#This Row],[Column4]]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N305" totalsRowShown="0" headerRowDxfId="37" dataDxfId="35" headerRowBorderDxfId="36" tableBorderDxfId="34" totalsRowBorderDxfId="33">
  <autoFilter ref="A1:N305" xr:uid="{00000000-0009-0000-0100-000001000000}"/>
  <tableColumns count="14">
    <tableColumn id="1" xr3:uid="{00000000-0010-0000-0200-000001000000}" name="ردیف" dataDxfId="32">
      <calculatedColumnFormula>ROW(A2)-1</calculatedColumnFormula>
    </tableColumn>
    <tableColumn id="2" xr3:uid="{00000000-0010-0000-0200-000002000000}" name="تاریخ" dataDxfId="31"/>
    <tableColumn id="3" xr3:uid="{00000000-0010-0000-0200-000003000000}" name="نام و نام خانوادگی" dataDxfId="30"/>
    <tableColumn id="4" xr3:uid="{00000000-0010-0000-0200-000004000000}" name="Column1" dataDxfId="29">
      <calculatedColumnFormula>E2*5000</calculatedColumnFormula>
    </tableColumn>
    <tableColumn id="5" xr3:uid="{00000000-0010-0000-0200-000005000000}" name="3فیش 5" dataDxfId="28"/>
    <tableColumn id="6" xr3:uid="{00000000-0010-0000-0200-000006000000}" name="Column2" dataDxfId="27">
      <calculatedColumnFormula>G2*100000</calculatedColumnFormula>
    </tableColumn>
    <tableColumn id="7" xr3:uid="{00000000-0010-0000-0200-000007000000}" name="رفتار 100" dataDxfId="26"/>
    <tableColumn id="8" xr3:uid="{00000000-0010-0000-0200-000008000000}" name="Column3" dataDxfId="25">
      <calculatedColumnFormula>I2*20000</calculatedColumnFormula>
    </tableColumn>
    <tableColumn id="9" xr3:uid="{00000000-0010-0000-0200-000009000000}" name="اشتباه 20" dataDxfId="24"/>
    <tableColumn id="10" xr3:uid="{00000000-0010-0000-0200-00000A000000}" name="Column4" dataDxfId="23">
      <calculatedColumnFormula>K2*20000</calculatedColumnFormula>
    </tableColumn>
    <tableColumn id="11" xr3:uid="{00000000-0010-0000-0200-00000B000000}" name="تاخیر غذا 20" dataDxfId="22"/>
    <tableColumn id="12" xr3:uid="{00000000-0010-0000-0200-00000C000000}" name="Column5" dataDxfId="21">
      <calculatedColumnFormula>M2*30000</calculatedColumnFormula>
    </tableColumn>
    <tableColumn id="13" xr3:uid="{00000000-0010-0000-0200-00000D000000}" name="سردی غذا 50" dataDxfId="20"/>
    <tableColumn id="14" xr3:uid="{00000000-0010-0000-0200-00000E000000}" name="محاسبه پاداش" dataDxfId="19">
      <calculatedColumnFormula>200000-L2-J2-H2-F2-D2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13" displayName="Table13" ref="A1:N121" totalsRowShown="0" headerRowDxfId="18" dataDxfId="16" headerRowBorderDxfId="17" tableBorderDxfId="15" totalsRowBorderDxfId="14">
  <autoFilter ref="A1:N121" xr:uid="{00000000-0009-0000-0100-000002000000}"/>
  <tableColumns count="14">
    <tableColumn id="1" xr3:uid="{00000000-0010-0000-0300-000001000000}" name="ردیف" dataDxfId="13">
      <calculatedColumnFormula>ROW(A2)-1</calculatedColumnFormula>
    </tableColumn>
    <tableColumn id="2" xr3:uid="{00000000-0010-0000-0300-000002000000}" name="تاریخ" dataDxfId="12"/>
    <tableColumn id="3" xr3:uid="{00000000-0010-0000-0300-000003000000}" name="نام و نام خانوادگی" dataDxfId="11"/>
    <tableColumn id="4" xr3:uid="{00000000-0010-0000-0300-000004000000}" name="Column1" dataDxfId="10">
      <calculatedColumnFormula>E2*2000</calculatedColumnFormula>
    </tableColumn>
    <tableColumn id="5" xr3:uid="{00000000-0010-0000-0300-000005000000}" name="تماس از دست رفته 2" dataDxfId="9"/>
    <tableColumn id="6" xr3:uid="{00000000-0010-0000-0300-000006000000}" name="Column2" dataDxfId="8">
      <calculatedColumnFormula>G2*20000</calculatedColumnFormula>
    </tableColumn>
    <tableColumn id="7" xr3:uid="{00000000-0010-0000-0300-000007000000}" name="آدرس اشتباه در ثبت سفارش 20" dataDxfId="7"/>
    <tableColumn id="8" xr3:uid="{00000000-0010-0000-0300-000008000000}" name="Column3" dataDxfId="6">
      <calculatedColumnFormula>I2*30000</calculatedColumnFormula>
    </tableColumn>
    <tableColumn id="9" xr3:uid="{00000000-0010-0000-0300-000009000000}" name="ویس لحن و رفتار نامناسب 30" dataDxfId="5"/>
    <tableColumn id="10" xr3:uid="{00000000-0010-0000-0300-00000A000000}" name="Column4" dataDxfId="4">
      <calculatedColumnFormula>K2*30000</calculatedColumnFormula>
    </tableColumn>
    <tableColumn id="11" xr3:uid="{00000000-0010-0000-0300-00000B000000}" name="تاخیر غذا 30" dataDxfId="3"/>
    <tableColumn id="12" xr3:uid="{00000000-0010-0000-0300-00000C000000}" name="Column5" dataDxfId="2">
      <calculatedColumnFormula>M2*50000</calculatedColumnFormula>
    </tableColumn>
    <tableColumn id="13" xr3:uid="{00000000-0010-0000-0300-00000D000000}" name="سردی غذا 50" dataDxfId="1"/>
    <tableColumn id="14" xr3:uid="{00000000-0010-0000-0300-00000E000000}" name="محاسبه پاداش" dataDxfId="0">
      <calculatedColumnFormula>200000-L2-J2-H2-F2-D2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794D-11D1-4A6C-9F6C-358EE22A1CD7}">
  <dimension ref="A1:B71"/>
  <sheetViews>
    <sheetView rightToLeft="1" topLeftCell="A61" workbookViewId="0">
      <selection activeCell="A69" sqref="A69"/>
    </sheetView>
  </sheetViews>
  <sheetFormatPr defaultRowHeight="14.25" x14ac:dyDescent="0.45"/>
  <cols>
    <col min="1" max="1" width="29.86328125" customWidth="1"/>
    <col min="2" max="2" width="47.73046875" customWidth="1"/>
  </cols>
  <sheetData>
    <row r="1" spans="1:2" ht="27.75" thickBot="1" x14ac:dyDescent="0.5">
      <c r="A1" s="33" t="s">
        <v>618</v>
      </c>
      <c r="B1" s="34" t="s">
        <v>619</v>
      </c>
    </row>
    <row r="2" spans="1:2" ht="14.65" thickBot="1" x14ac:dyDescent="0.5">
      <c r="A2" s="35" t="s">
        <v>605</v>
      </c>
      <c r="B2" s="36" t="s">
        <v>343</v>
      </c>
    </row>
    <row r="3" spans="1:2" ht="18.399999999999999" thickBot="1" x14ac:dyDescent="0.5">
      <c r="A3" s="37" t="s">
        <v>606</v>
      </c>
      <c r="B3" s="36" t="s">
        <v>341</v>
      </c>
    </row>
    <row r="4" spans="1:2" ht="18.399999999999999" thickBot="1" x14ac:dyDescent="0.5">
      <c r="A4" s="37" t="s">
        <v>607</v>
      </c>
      <c r="B4" s="36" t="s">
        <v>2</v>
      </c>
    </row>
    <row r="5" spans="1:2" ht="18.399999999999999" thickBot="1" x14ac:dyDescent="0.5">
      <c r="A5" s="37" t="s">
        <v>608</v>
      </c>
      <c r="B5" s="36" t="s">
        <v>620</v>
      </c>
    </row>
    <row r="6" spans="1:2" ht="18.399999999999999" thickBot="1" x14ac:dyDescent="0.5">
      <c r="A6" s="37" t="s">
        <v>621</v>
      </c>
      <c r="B6" s="36" t="s">
        <v>342</v>
      </c>
    </row>
    <row r="7" spans="1:2" ht="18.399999999999999" thickBot="1" x14ac:dyDescent="0.5">
      <c r="A7" s="37" t="s">
        <v>622</v>
      </c>
      <c r="B7" s="36" t="s">
        <v>623</v>
      </c>
    </row>
    <row r="8" spans="1:2" ht="18.399999999999999" thickBot="1" x14ac:dyDescent="0.5">
      <c r="A8" s="37" t="s">
        <v>624</v>
      </c>
      <c r="B8" s="36" t="s">
        <v>625</v>
      </c>
    </row>
    <row r="9" spans="1:2" ht="18.399999999999999" thickBot="1" x14ac:dyDescent="0.5">
      <c r="A9" s="37" t="s">
        <v>626</v>
      </c>
      <c r="B9" s="36" t="s">
        <v>627</v>
      </c>
    </row>
    <row r="10" spans="1:2" ht="18.399999999999999" thickBot="1" x14ac:dyDescent="0.5">
      <c r="A10" s="37" t="s">
        <v>614</v>
      </c>
      <c r="B10" s="36" t="s">
        <v>15</v>
      </c>
    </row>
    <row r="11" spans="1:2" ht="18.399999999999999" thickBot="1" x14ac:dyDescent="0.5">
      <c r="A11" s="37" t="s">
        <v>628</v>
      </c>
      <c r="B11" s="36" t="s">
        <v>629</v>
      </c>
    </row>
    <row r="12" spans="1:2" ht="18.399999999999999" thickBot="1" x14ac:dyDescent="0.5">
      <c r="A12" s="37" t="s">
        <v>630</v>
      </c>
      <c r="B12" s="36" t="s">
        <v>631</v>
      </c>
    </row>
    <row r="13" spans="1:2" ht="18.399999999999999" thickBot="1" x14ac:dyDescent="0.5">
      <c r="A13" s="37" t="s">
        <v>632</v>
      </c>
      <c r="B13" s="36" t="s">
        <v>633</v>
      </c>
    </row>
    <row r="14" spans="1:2" ht="18.399999999999999" thickBot="1" x14ac:dyDescent="0.5">
      <c r="A14" s="37" t="s">
        <v>634</v>
      </c>
      <c r="B14" s="36" t="s">
        <v>635</v>
      </c>
    </row>
    <row r="15" spans="1:2" ht="18.399999999999999" thickBot="1" x14ac:dyDescent="0.5">
      <c r="A15" s="37" t="s">
        <v>636</v>
      </c>
      <c r="B15" s="36" t="s">
        <v>637</v>
      </c>
    </row>
    <row r="16" spans="1:2" ht="18.399999999999999" thickBot="1" x14ac:dyDescent="0.5">
      <c r="A16" s="37" t="s">
        <v>638</v>
      </c>
      <c r="B16" s="36" t="s">
        <v>639</v>
      </c>
    </row>
    <row r="17" spans="1:2" ht="18.399999999999999" thickBot="1" x14ac:dyDescent="0.5">
      <c r="A17" s="37" t="s">
        <v>640</v>
      </c>
      <c r="B17" s="36" t="s">
        <v>641</v>
      </c>
    </row>
    <row r="18" spans="1:2" ht="18.399999999999999" thickBot="1" x14ac:dyDescent="0.5">
      <c r="A18" s="37" t="s">
        <v>642</v>
      </c>
      <c r="B18" s="36" t="s">
        <v>643</v>
      </c>
    </row>
    <row r="19" spans="1:2" ht="18.399999999999999" thickBot="1" x14ac:dyDescent="0.5">
      <c r="A19" s="37" t="s">
        <v>644</v>
      </c>
      <c r="B19" s="36" t="s">
        <v>645</v>
      </c>
    </row>
    <row r="20" spans="1:2" ht="18.399999999999999" thickBot="1" x14ac:dyDescent="0.5">
      <c r="A20" s="37" t="s">
        <v>646</v>
      </c>
      <c r="B20" s="36" t="s">
        <v>647</v>
      </c>
    </row>
    <row r="21" spans="1:2" ht="18.399999999999999" thickBot="1" x14ac:dyDescent="0.5">
      <c r="A21" s="37" t="s">
        <v>648</v>
      </c>
      <c r="B21" s="36" t="s">
        <v>649</v>
      </c>
    </row>
    <row r="22" spans="1:2" ht="18.399999999999999" thickBot="1" x14ac:dyDescent="0.5">
      <c r="A22" s="37" t="s">
        <v>650</v>
      </c>
      <c r="B22" s="36" t="s">
        <v>651</v>
      </c>
    </row>
    <row r="23" spans="1:2" ht="36.4" thickBot="1" x14ac:dyDescent="0.5">
      <c r="A23" s="37" t="s">
        <v>652</v>
      </c>
      <c r="B23" s="36" t="s">
        <v>653</v>
      </c>
    </row>
    <row r="24" spans="1:2" ht="18.399999999999999" thickBot="1" x14ac:dyDescent="0.5">
      <c r="A24" s="37" t="s">
        <v>654</v>
      </c>
      <c r="B24" s="36" t="s">
        <v>655</v>
      </c>
    </row>
    <row r="25" spans="1:2" ht="18.399999999999999" thickBot="1" x14ac:dyDescent="0.5">
      <c r="A25" s="37" t="s">
        <v>656</v>
      </c>
      <c r="B25" s="36" t="s">
        <v>657</v>
      </c>
    </row>
    <row r="26" spans="1:2" ht="18.399999999999999" thickBot="1" x14ac:dyDescent="0.5">
      <c r="A26" s="37" t="s">
        <v>658</v>
      </c>
      <c r="B26" s="36" t="s">
        <v>659</v>
      </c>
    </row>
    <row r="27" spans="1:2" ht="18.399999999999999" thickBot="1" x14ac:dyDescent="0.5">
      <c r="A27" s="37" t="s">
        <v>660</v>
      </c>
      <c r="B27" s="36" t="s">
        <v>661</v>
      </c>
    </row>
    <row r="28" spans="1:2" ht="18.399999999999999" thickBot="1" x14ac:dyDescent="0.5">
      <c r="A28" s="37" t="s">
        <v>662</v>
      </c>
      <c r="B28" s="36" t="s">
        <v>663</v>
      </c>
    </row>
    <row r="29" spans="1:2" ht="18.399999999999999" thickBot="1" x14ac:dyDescent="0.5">
      <c r="A29" s="37" t="s">
        <v>664</v>
      </c>
      <c r="B29" s="36" t="s">
        <v>665</v>
      </c>
    </row>
    <row r="30" spans="1:2" ht="18.399999999999999" thickBot="1" x14ac:dyDescent="0.5">
      <c r="A30" s="37" t="s">
        <v>666</v>
      </c>
      <c r="B30" s="36" t="s">
        <v>667</v>
      </c>
    </row>
    <row r="31" spans="1:2" ht="18.399999999999999" thickBot="1" x14ac:dyDescent="0.5">
      <c r="A31" s="37" t="s">
        <v>668</v>
      </c>
      <c r="B31" s="36" t="s">
        <v>669</v>
      </c>
    </row>
    <row r="32" spans="1:2" ht="18.399999999999999" thickBot="1" x14ac:dyDescent="0.5">
      <c r="A32" s="37" t="s">
        <v>670</v>
      </c>
      <c r="B32" s="36" t="s">
        <v>671</v>
      </c>
    </row>
    <row r="33" spans="1:2" ht="18.399999999999999" thickBot="1" x14ac:dyDescent="0.5">
      <c r="A33" s="37" t="s">
        <v>672</v>
      </c>
      <c r="B33" s="36" t="s">
        <v>673</v>
      </c>
    </row>
    <row r="34" spans="1:2" ht="18.399999999999999" thickBot="1" x14ac:dyDescent="0.5">
      <c r="A34" s="37" t="s">
        <v>674</v>
      </c>
      <c r="B34" s="36" t="s">
        <v>675</v>
      </c>
    </row>
    <row r="35" spans="1:2" ht="18.399999999999999" thickBot="1" x14ac:dyDescent="0.5">
      <c r="A35" s="37" t="s">
        <v>676</v>
      </c>
      <c r="B35" s="36" t="s">
        <v>677</v>
      </c>
    </row>
    <row r="36" spans="1:2" ht="18.399999999999999" thickBot="1" x14ac:dyDescent="0.5">
      <c r="A36" s="37" t="s">
        <v>678</v>
      </c>
      <c r="B36" s="36" t="s">
        <v>679</v>
      </c>
    </row>
    <row r="37" spans="1:2" ht="18.399999999999999" thickBot="1" x14ac:dyDescent="0.5">
      <c r="A37" s="37" t="s">
        <v>680</v>
      </c>
      <c r="B37" s="36" t="s">
        <v>681</v>
      </c>
    </row>
    <row r="38" spans="1:2" ht="18.399999999999999" thickBot="1" x14ac:dyDescent="0.5">
      <c r="A38" s="37" t="s">
        <v>682</v>
      </c>
      <c r="B38" s="36" t="s">
        <v>683</v>
      </c>
    </row>
    <row r="39" spans="1:2" ht="18.399999999999999" thickBot="1" x14ac:dyDescent="0.5">
      <c r="A39" s="37" t="s">
        <v>684</v>
      </c>
      <c r="B39" s="36" t="s">
        <v>685</v>
      </c>
    </row>
    <row r="40" spans="1:2" ht="18.399999999999999" thickBot="1" x14ac:dyDescent="0.5">
      <c r="A40" s="37" t="s">
        <v>686</v>
      </c>
      <c r="B40" s="36" t="s">
        <v>687</v>
      </c>
    </row>
    <row r="41" spans="1:2" ht="18.399999999999999" thickBot="1" x14ac:dyDescent="0.5">
      <c r="A41" s="37" t="s">
        <v>688</v>
      </c>
      <c r="B41" s="36" t="s">
        <v>689</v>
      </c>
    </row>
    <row r="42" spans="1:2" ht="18.399999999999999" thickBot="1" x14ac:dyDescent="0.5">
      <c r="A42" s="37" t="s">
        <v>690</v>
      </c>
      <c r="B42" s="36" t="s">
        <v>691</v>
      </c>
    </row>
    <row r="43" spans="1:2" ht="18.399999999999999" thickBot="1" x14ac:dyDescent="0.5">
      <c r="A43" s="37" t="s">
        <v>692</v>
      </c>
      <c r="B43" s="36" t="s">
        <v>693</v>
      </c>
    </row>
    <row r="44" spans="1:2" ht="18.399999999999999" thickBot="1" x14ac:dyDescent="0.5">
      <c r="A44" s="37" t="s">
        <v>694</v>
      </c>
      <c r="B44" s="36" t="s">
        <v>695</v>
      </c>
    </row>
    <row r="45" spans="1:2" ht="36.4" thickBot="1" x14ac:dyDescent="0.5">
      <c r="A45" s="37" t="s">
        <v>696</v>
      </c>
      <c r="B45" s="36" t="s">
        <v>697</v>
      </c>
    </row>
    <row r="46" spans="1:2" ht="18.399999999999999" thickBot="1" x14ac:dyDescent="0.5">
      <c r="A46" s="37" t="s">
        <v>698</v>
      </c>
      <c r="B46" s="36" t="s">
        <v>699</v>
      </c>
    </row>
    <row r="47" spans="1:2" ht="18.399999999999999" thickBot="1" x14ac:dyDescent="0.5">
      <c r="A47" s="38" t="s">
        <v>700</v>
      </c>
      <c r="B47" s="36" t="s">
        <v>0</v>
      </c>
    </row>
    <row r="48" spans="1:2" ht="18.399999999999999" thickBot="1" x14ac:dyDescent="0.5">
      <c r="A48" s="38" t="s">
        <v>701</v>
      </c>
      <c r="B48" s="36" t="s">
        <v>702</v>
      </c>
    </row>
    <row r="49" spans="1:2" ht="18.399999999999999" thickBot="1" x14ac:dyDescent="0.5">
      <c r="A49" s="38" t="s">
        <v>703</v>
      </c>
      <c r="B49" s="36" t="s">
        <v>704</v>
      </c>
    </row>
    <row r="50" spans="1:2" ht="18.399999999999999" thickBot="1" x14ac:dyDescent="0.5">
      <c r="A50" s="38" t="s">
        <v>705</v>
      </c>
      <c r="B50" s="36" t="s">
        <v>706</v>
      </c>
    </row>
    <row r="51" spans="1:2" ht="21.4" thickBot="1" x14ac:dyDescent="0.5">
      <c r="A51" s="39" t="s">
        <v>707</v>
      </c>
      <c r="B51" s="36" t="s">
        <v>344</v>
      </c>
    </row>
    <row r="52" spans="1:2" ht="18.399999999999999" thickBot="1" x14ac:dyDescent="0.5">
      <c r="A52" s="38" t="s">
        <v>708</v>
      </c>
      <c r="B52" s="36" t="s">
        <v>709</v>
      </c>
    </row>
    <row r="53" spans="1:2" ht="21.4" thickBot="1" x14ac:dyDescent="0.5">
      <c r="A53" s="39" t="s">
        <v>710</v>
      </c>
      <c r="B53" s="36" t="s">
        <v>711</v>
      </c>
    </row>
    <row r="54" spans="1:2" ht="42.4" thickBot="1" x14ac:dyDescent="0.5">
      <c r="A54" s="39" t="s">
        <v>712</v>
      </c>
      <c r="B54" s="36" t="s">
        <v>713</v>
      </c>
    </row>
    <row r="55" spans="1:2" ht="21.4" thickBot="1" x14ac:dyDescent="0.5">
      <c r="A55" s="39" t="s">
        <v>714</v>
      </c>
      <c r="B55" s="36" t="s">
        <v>715</v>
      </c>
    </row>
    <row r="56" spans="1:2" ht="42.4" thickBot="1" x14ac:dyDescent="0.5">
      <c r="A56" s="39" t="s">
        <v>716</v>
      </c>
      <c r="B56" s="36" t="s">
        <v>717</v>
      </c>
    </row>
    <row r="57" spans="1:2" ht="63.4" thickBot="1" x14ac:dyDescent="0.5">
      <c r="A57" s="39" t="s">
        <v>718</v>
      </c>
      <c r="B57" s="36" t="s">
        <v>719</v>
      </c>
    </row>
    <row r="58" spans="1:2" ht="42.4" thickBot="1" x14ac:dyDescent="0.5">
      <c r="A58" s="39" t="s">
        <v>720</v>
      </c>
      <c r="B58" s="36" t="s">
        <v>721</v>
      </c>
    </row>
    <row r="59" spans="1:2" ht="21.4" thickBot="1" x14ac:dyDescent="0.5">
      <c r="A59" s="40" t="s">
        <v>722</v>
      </c>
      <c r="B59" s="36" t="s">
        <v>8</v>
      </c>
    </row>
    <row r="60" spans="1:2" ht="42.4" thickBot="1" x14ac:dyDescent="0.5">
      <c r="A60" s="40" t="s">
        <v>723</v>
      </c>
      <c r="B60" s="36" t="s">
        <v>724</v>
      </c>
    </row>
    <row r="61" spans="1:2" ht="21.4" thickBot="1" x14ac:dyDescent="0.5">
      <c r="A61" s="40" t="s">
        <v>725</v>
      </c>
      <c r="B61" s="36" t="s">
        <v>726</v>
      </c>
    </row>
    <row r="62" spans="1:2" ht="36.4" thickBot="1" x14ac:dyDescent="0.5">
      <c r="A62" s="37" t="s">
        <v>727</v>
      </c>
      <c r="B62" s="36" t="s">
        <v>728</v>
      </c>
    </row>
    <row r="63" spans="1:2" ht="18.399999999999999" thickBot="1" x14ac:dyDescent="0.5">
      <c r="A63" s="37" t="s">
        <v>729</v>
      </c>
      <c r="B63" s="36" t="s">
        <v>345</v>
      </c>
    </row>
    <row r="64" spans="1:2" ht="21.4" thickBot="1" x14ac:dyDescent="0.5">
      <c r="A64" s="39" t="s">
        <v>730</v>
      </c>
      <c r="B64" s="36" t="s">
        <v>731</v>
      </c>
    </row>
    <row r="65" spans="1:2" ht="18.399999999999999" thickBot="1" x14ac:dyDescent="0.5">
      <c r="A65" s="37" t="s">
        <v>610</v>
      </c>
      <c r="B65" s="36" t="s">
        <v>732</v>
      </c>
    </row>
    <row r="66" spans="1:2" ht="18.399999999999999" thickBot="1" x14ac:dyDescent="0.5">
      <c r="A66" s="41" t="s">
        <v>611</v>
      </c>
      <c r="B66" s="36" t="s">
        <v>733</v>
      </c>
    </row>
    <row r="67" spans="1:2" ht="14.65" thickBot="1" x14ac:dyDescent="0.5">
      <c r="A67" s="35" t="s">
        <v>734</v>
      </c>
      <c r="B67" s="36" t="s">
        <v>735</v>
      </c>
    </row>
    <row r="68" spans="1:2" ht="18.399999999999999" thickBot="1" x14ac:dyDescent="0.5">
      <c r="A68" s="37" t="s">
        <v>613</v>
      </c>
      <c r="B68" s="36" t="s">
        <v>736</v>
      </c>
    </row>
    <row r="69" spans="1:2" ht="18.399999999999999" thickBot="1" x14ac:dyDescent="0.5">
      <c r="A69" s="37" t="s">
        <v>615</v>
      </c>
      <c r="B69" s="36" t="s">
        <v>737</v>
      </c>
    </row>
    <row r="70" spans="1:2" ht="18.399999999999999" thickBot="1" x14ac:dyDescent="0.5">
      <c r="A70" s="37" t="s">
        <v>616</v>
      </c>
      <c r="B70" s="36" t="s">
        <v>738</v>
      </c>
    </row>
    <row r="71" spans="1:2" ht="18.399999999999999" thickBot="1" x14ac:dyDescent="0.5">
      <c r="A71" s="37" t="s">
        <v>617</v>
      </c>
      <c r="B71" s="36" t="s">
        <v>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3"/>
  <sheetViews>
    <sheetView rightToLeft="1" workbookViewId="0">
      <selection activeCell="J18" sqref="J18"/>
    </sheetView>
  </sheetViews>
  <sheetFormatPr defaultColWidth="9.1328125" defaultRowHeight="14.25" x14ac:dyDescent="0.45"/>
  <cols>
    <col min="1" max="1" width="16" style="2" customWidth="1"/>
    <col min="2" max="9" width="9.1328125" style="2"/>
    <col min="10" max="10" width="14" style="2" bestFit="1" customWidth="1"/>
    <col min="11" max="11" width="9.1328125" style="2"/>
    <col min="12" max="12" width="15.59765625" style="2" bestFit="1" customWidth="1"/>
    <col min="13" max="13" width="9.1328125" style="2"/>
    <col min="14" max="14" width="16.1328125" style="2" bestFit="1" customWidth="1"/>
    <col min="15" max="15" width="9.1328125" style="2"/>
    <col min="16" max="16" width="17" style="2" bestFit="1" customWidth="1"/>
    <col min="17" max="17" width="13.3984375" style="2" bestFit="1" customWidth="1"/>
    <col min="18" max="18" width="14.3984375" style="2" bestFit="1" customWidth="1"/>
    <col min="19" max="19" width="9.1328125" style="2"/>
    <col min="20" max="20" width="15" style="2" bestFit="1" customWidth="1"/>
    <col min="21" max="21" width="9.1328125" style="2"/>
    <col min="22" max="22" width="14" style="2" bestFit="1" customWidth="1"/>
    <col min="23" max="23" width="9.1328125" style="2"/>
    <col min="24" max="24" width="14.59765625" style="2" bestFit="1" customWidth="1"/>
    <col min="25" max="25" width="9.1328125" style="2"/>
    <col min="26" max="26" width="8.3984375" style="2" bestFit="1" customWidth="1"/>
    <col min="27" max="27" width="11" style="2" bestFit="1" customWidth="1"/>
    <col min="28" max="16384" width="9.1328125" style="3"/>
  </cols>
  <sheetData>
    <row r="1" spans="1:37" x14ac:dyDescent="0.45">
      <c r="A1" s="1" t="s">
        <v>0</v>
      </c>
      <c r="C1" s="1" t="s">
        <v>341</v>
      </c>
      <c r="E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P1" s="1" t="s">
        <v>7</v>
      </c>
      <c r="Q1" s="1" t="s">
        <v>8</v>
      </c>
      <c r="R1" s="1" t="s">
        <v>9</v>
      </c>
      <c r="T1" s="1" t="s">
        <v>10</v>
      </c>
      <c r="V1" s="1" t="s">
        <v>11</v>
      </c>
      <c r="X1" s="1" t="s">
        <v>12</v>
      </c>
      <c r="Z1" s="1" t="s">
        <v>13</v>
      </c>
      <c r="AA1" s="1" t="s">
        <v>14</v>
      </c>
      <c r="AC1" s="4" t="s">
        <v>15</v>
      </c>
      <c r="AE1" s="1" t="s">
        <v>16</v>
      </c>
      <c r="AG1" s="1" t="s">
        <v>16</v>
      </c>
      <c r="AI1" s="1" t="s">
        <v>15</v>
      </c>
      <c r="AK1" s="1" t="s">
        <v>17</v>
      </c>
    </row>
    <row r="2" spans="1:37" x14ac:dyDescent="0.45">
      <c r="A2" s="5" t="s">
        <v>401</v>
      </c>
      <c r="C2" s="5">
        <v>1404</v>
      </c>
      <c r="E2" s="5">
        <v>1</v>
      </c>
      <c r="F2" s="5" t="s">
        <v>18</v>
      </c>
      <c r="H2" s="5" t="s">
        <v>19</v>
      </c>
      <c r="J2" s="5" t="s">
        <v>602</v>
      </c>
      <c r="L2" s="5" t="s">
        <v>20</v>
      </c>
      <c r="N2" s="5" t="s">
        <v>21</v>
      </c>
      <c r="P2" s="5" t="s">
        <v>594</v>
      </c>
      <c r="Q2" s="5" t="s">
        <v>23</v>
      </c>
      <c r="R2" s="5" t="s">
        <v>22</v>
      </c>
      <c r="T2" s="5" t="s">
        <v>24</v>
      </c>
      <c r="V2" s="5" t="s">
        <v>20</v>
      </c>
      <c r="X2" s="5" t="s">
        <v>25</v>
      </c>
      <c r="Z2" s="5">
        <v>0</v>
      </c>
      <c r="AA2" s="5">
        <v>0</v>
      </c>
      <c r="AC2" s="6">
        <v>1</v>
      </c>
      <c r="AE2" s="5" t="s">
        <v>26</v>
      </c>
      <c r="AG2" s="5" t="s">
        <v>27</v>
      </c>
      <c r="AI2" s="5">
        <v>0</v>
      </c>
      <c r="AK2" s="7">
        <v>0</v>
      </c>
    </row>
    <row r="3" spans="1:37" x14ac:dyDescent="0.45">
      <c r="A3" s="5" t="s">
        <v>402</v>
      </c>
      <c r="C3" s="5">
        <v>1405</v>
      </c>
      <c r="E3" s="5">
        <v>2</v>
      </c>
      <c r="F3" s="5" t="s">
        <v>28</v>
      </c>
      <c r="H3" s="5" t="s">
        <v>29</v>
      </c>
      <c r="J3" s="7" t="s">
        <v>600</v>
      </c>
      <c r="L3" s="5" t="s">
        <v>48</v>
      </c>
      <c r="N3" s="5" t="s">
        <v>591</v>
      </c>
      <c r="P3" s="5" t="s">
        <v>595</v>
      </c>
      <c r="Q3" s="5" t="s">
        <v>30</v>
      </c>
      <c r="R3" s="5" t="s">
        <v>600</v>
      </c>
      <c r="T3" s="5" t="s">
        <v>31</v>
      </c>
      <c r="V3" s="5" t="s">
        <v>602</v>
      </c>
      <c r="X3" s="5" t="s">
        <v>23</v>
      </c>
      <c r="Z3" s="5">
        <v>10000</v>
      </c>
      <c r="AA3" s="5">
        <v>1</v>
      </c>
      <c r="AC3" s="6">
        <v>2</v>
      </c>
      <c r="AE3" s="5" t="s">
        <v>32</v>
      </c>
      <c r="AG3" s="5" t="s">
        <v>33</v>
      </c>
      <c r="AI3" s="5">
        <v>0.15</v>
      </c>
      <c r="AK3" s="7">
        <v>1</v>
      </c>
    </row>
    <row r="4" spans="1:37" x14ac:dyDescent="0.45">
      <c r="A4" s="5" t="s">
        <v>403</v>
      </c>
      <c r="C4" s="5">
        <v>1406</v>
      </c>
      <c r="E4" s="5">
        <v>3</v>
      </c>
      <c r="F4" s="5" t="s">
        <v>34</v>
      </c>
      <c r="H4" s="5" t="s">
        <v>35</v>
      </c>
      <c r="J4" s="5" t="s">
        <v>66</v>
      </c>
      <c r="L4" s="5" t="s">
        <v>589</v>
      </c>
      <c r="N4" s="5" t="s">
        <v>592</v>
      </c>
      <c r="P4" s="5" t="s">
        <v>596</v>
      </c>
      <c r="Q4" s="5" t="s">
        <v>37</v>
      </c>
      <c r="R4" s="5" t="s">
        <v>593</v>
      </c>
      <c r="V4" s="5" t="s">
        <v>43</v>
      </c>
      <c r="X4" s="5" t="s">
        <v>37</v>
      </c>
      <c r="Z4" s="5">
        <v>20000</v>
      </c>
      <c r="AA4" s="5">
        <v>1</v>
      </c>
      <c r="AC4" s="6">
        <v>3</v>
      </c>
      <c r="AI4" s="5">
        <v>0.25</v>
      </c>
    </row>
    <row r="5" spans="1:37" x14ac:dyDescent="0.45">
      <c r="A5" s="5" t="s">
        <v>404</v>
      </c>
      <c r="C5" s="5">
        <v>1407</v>
      </c>
      <c r="E5" s="5">
        <v>4</v>
      </c>
      <c r="F5" s="5" t="s">
        <v>38</v>
      </c>
      <c r="H5" s="5" t="s">
        <v>39</v>
      </c>
      <c r="J5" s="5" t="s">
        <v>583</v>
      </c>
      <c r="L5" s="5" t="s">
        <v>590</v>
      </c>
      <c r="N5" s="5" t="s">
        <v>593</v>
      </c>
      <c r="P5" s="5" t="s">
        <v>597</v>
      </c>
      <c r="Q5" s="5" t="s">
        <v>42</v>
      </c>
      <c r="R5" s="5" t="s">
        <v>601</v>
      </c>
      <c r="V5" s="5" t="s">
        <v>57</v>
      </c>
      <c r="Z5" s="5">
        <v>30000</v>
      </c>
      <c r="AA5" s="5">
        <v>1</v>
      </c>
      <c r="AC5" s="6">
        <v>4</v>
      </c>
    </row>
    <row r="6" spans="1:37" x14ac:dyDescent="0.45">
      <c r="A6" s="5" t="s">
        <v>405</v>
      </c>
      <c r="E6" s="5">
        <v>5</v>
      </c>
      <c r="F6" s="5" t="s">
        <v>44</v>
      </c>
      <c r="H6" s="5" t="s">
        <v>42</v>
      </c>
      <c r="J6" s="5" t="s">
        <v>584</v>
      </c>
      <c r="P6" s="5" t="s">
        <v>41</v>
      </c>
      <c r="Q6" s="5" t="s">
        <v>45</v>
      </c>
      <c r="V6" s="5" t="s">
        <v>36</v>
      </c>
      <c r="Z6" s="5">
        <v>40000</v>
      </c>
      <c r="AA6" s="5">
        <v>1</v>
      </c>
      <c r="AC6" s="6">
        <v>5</v>
      </c>
    </row>
    <row r="7" spans="1:37" x14ac:dyDescent="0.45">
      <c r="A7" s="5" t="s">
        <v>406</v>
      </c>
      <c r="E7" s="5">
        <v>6</v>
      </c>
      <c r="F7" s="5" t="s">
        <v>46</v>
      </c>
      <c r="H7" s="5" t="s">
        <v>25</v>
      </c>
      <c r="J7" s="5" t="s">
        <v>47</v>
      </c>
      <c r="P7" s="5" t="s">
        <v>598</v>
      </c>
      <c r="Q7" s="5" t="s">
        <v>49</v>
      </c>
      <c r="V7" s="5" t="s">
        <v>63</v>
      </c>
      <c r="Z7" s="5">
        <v>50000</v>
      </c>
      <c r="AA7" s="5">
        <v>1</v>
      </c>
    </row>
    <row r="8" spans="1:37" x14ac:dyDescent="0.45">
      <c r="A8" s="5" t="s">
        <v>407</v>
      </c>
      <c r="E8" s="5">
        <v>7</v>
      </c>
      <c r="F8" s="5" t="s">
        <v>50</v>
      </c>
      <c r="H8" s="5" t="s">
        <v>23</v>
      </c>
      <c r="J8" s="5" t="s">
        <v>585</v>
      </c>
      <c r="P8" s="5" t="s">
        <v>40</v>
      </c>
      <c r="Q8" s="5" t="s">
        <v>51</v>
      </c>
      <c r="V8" s="5" t="s">
        <v>603</v>
      </c>
      <c r="Z8" s="5">
        <v>60000</v>
      </c>
      <c r="AA8" s="5">
        <v>2</v>
      </c>
    </row>
    <row r="9" spans="1:37" x14ac:dyDescent="0.45">
      <c r="A9" s="5" t="s">
        <v>408</v>
      </c>
      <c r="E9" s="5">
        <v>8</v>
      </c>
      <c r="F9" s="5" t="s">
        <v>52</v>
      </c>
      <c r="H9" s="5" t="s">
        <v>37</v>
      </c>
      <c r="J9" s="5" t="s">
        <v>586</v>
      </c>
      <c r="P9" s="5" t="s">
        <v>599</v>
      </c>
      <c r="Q9" s="5" t="s">
        <v>53</v>
      </c>
      <c r="Z9" s="5">
        <v>70000</v>
      </c>
      <c r="AA9" s="5">
        <v>7</v>
      </c>
    </row>
    <row r="10" spans="1:37" x14ac:dyDescent="0.45">
      <c r="A10" s="5" t="s">
        <v>409</v>
      </c>
      <c r="E10" s="5">
        <v>9</v>
      </c>
      <c r="F10" s="5" t="s">
        <v>54</v>
      </c>
      <c r="H10" s="5" t="s">
        <v>55</v>
      </c>
      <c r="J10" s="5" t="s">
        <v>67</v>
      </c>
      <c r="P10" s="5" t="s">
        <v>36</v>
      </c>
      <c r="Q10" s="5" t="s">
        <v>56</v>
      </c>
      <c r="Z10" s="5">
        <v>80000</v>
      </c>
      <c r="AA10" s="5">
        <v>7</v>
      </c>
    </row>
    <row r="11" spans="1:37" x14ac:dyDescent="0.45">
      <c r="A11" s="5" t="s">
        <v>410</v>
      </c>
      <c r="E11" s="5">
        <v>10</v>
      </c>
      <c r="F11" s="5" t="s">
        <v>58</v>
      </c>
      <c r="H11" s="5" t="s">
        <v>59</v>
      </c>
      <c r="J11" s="5" t="s">
        <v>587</v>
      </c>
      <c r="P11" s="7" t="s">
        <v>604</v>
      </c>
      <c r="Q11" s="5" t="s">
        <v>60</v>
      </c>
      <c r="Z11" s="5">
        <v>90000</v>
      </c>
      <c r="AA11" s="5">
        <v>7</v>
      </c>
    </row>
    <row r="12" spans="1:37" x14ac:dyDescent="0.45">
      <c r="A12" s="5" t="s">
        <v>411</v>
      </c>
      <c r="E12" s="5">
        <v>11</v>
      </c>
      <c r="F12" s="5" t="s">
        <v>61</v>
      </c>
      <c r="H12" s="5" t="s">
        <v>62</v>
      </c>
      <c r="J12" s="5" t="s">
        <v>588</v>
      </c>
      <c r="Q12" s="5"/>
      <c r="Z12" s="5">
        <v>100000</v>
      </c>
      <c r="AA12" s="5">
        <v>8</v>
      </c>
    </row>
    <row r="13" spans="1:37" x14ac:dyDescent="0.45">
      <c r="A13" s="5" t="s">
        <v>412</v>
      </c>
      <c r="E13" s="5">
        <v>12</v>
      </c>
      <c r="F13" s="5" t="s">
        <v>64</v>
      </c>
      <c r="H13" s="5" t="s">
        <v>65</v>
      </c>
      <c r="Q13" s="5"/>
      <c r="Z13" s="5">
        <v>110000</v>
      </c>
      <c r="AA13" s="5">
        <v>8</v>
      </c>
    </row>
    <row r="14" spans="1:37" x14ac:dyDescent="0.45">
      <c r="A14" s="5" t="s">
        <v>413</v>
      </c>
      <c r="Z14" s="5">
        <v>120000</v>
      </c>
      <c r="AA14" s="5">
        <v>8</v>
      </c>
    </row>
    <row r="15" spans="1:37" x14ac:dyDescent="0.45">
      <c r="A15" s="5" t="s">
        <v>414</v>
      </c>
      <c r="Z15" s="5">
        <v>130000</v>
      </c>
      <c r="AA15" s="5">
        <v>9</v>
      </c>
    </row>
    <row r="16" spans="1:37" x14ac:dyDescent="0.45">
      <c r="A16" s="5" t="s">
        <v>415</v>
      </c>
      <c r="Z16" s="5">
        <v>140000</v>
      </c>
      <c r="AA16" s="5">
        <v>8</v>
      </c>
    </row>
    <row r="17" spans="1:27" x14ac:dyDescent="0.45">
      <c r="A17" s="5" t="s">
        <v>416</v>
      </c>
      <c r="Z17" s="5">
        <v>150000</v>
      </c>
      <c r="AA17" s="5">
        <v>9</v>
      </c>
    </row>
    <row r="18" spans="1:27" x14ac:dyDescent="0.45">
      <c r="A18" s="5" t="s">
        <v>417</v>
      </c>
      <c r="Z18" s="5">
        <v>160000</v>
      </c>
      <c r="AA18" s="5">
        <v>10</v>
      </c>
    </row>
    <row r="19" spans="1:27" x14ac:dyDescent="0.45">
      <c r="A19" s="5" t="s">
        <v>418</v>
      </c>
      <c r="Z19" s="5">
        <v>170000</v>
      </c>
      <c r="AA19" s="5">
        <v>11</v>
      </c>
    </row>
    <row r="20" spans="1:27" x14ac:dyDescent="0.45">
      <c r="A20" s="5" t="s">
        <v>419</v>
      </c>
      <c r="Z20" s="5">
        <v>180000</v>
      </c>
      <c r="AA20" s="5">
        <v>11</v>
      </c>
    </row>
    <row r="21" spans="1:27" x14ac:dyDescent="0.45">
      <c r="A21" s="5" t="s">
        <v>420</v>
      </c>
      <c r="Z21" s="5">
        <v>190000</v>
      </c>
      <c r="AA21" s="5">
        <v>11</v>
      </c>
    </row>
    <row r="22" spans="1:27" x14ac:dyDescent="0.45">
      <c r="A22" s="5" t="s">
        <v>421</v>
      </c>
      <c r="Z22" s="5">
        <v>200000</v>
      </c>
      <c r="AA22" s="5">
        <v>12</v>
      </c>
    </row>
    <row r="23" spans="1:27" x14ac:dyDescent="0.45">
      <c r="A23" s="5" t="s">
        <v>422</v>
      </c>
      <c r="Z23" s="5">
        <v>210000</v>
      </c>
      <c r="AA23" s="5">
        <v>12</v>
      </c>
    </row>
    <row r="24" spans="1:27" x14ac:dyDescent="0.45">
      <c r="A24" s="5" t="s">
        <v>423</v>
      </c>
      <c r="Z24" s="5">
        <v>220000</v>
      </c>
      <c r="AA24" s="5">
        <v>12</v>
      </c>
    </row>
    <row r="25" spans="1:27" x14ac:dyDescent="0.45">
      <c r="A25" s="5" t="s">
        <v>424</v>
      </c>
      <c r="Z25" s="5">
        <v>230000</v>
      </c>
      <c r="AA25" s="5">
        <v>12</v>
      </c>
    </row>
    <row r="26" spans="1:27" x14ac:dyDescent="0.45">
      <c r="A26" s="5" t="s">
        <v>425</v>
      </c>
      <c r="Z26" s="5">
        <v>240000</v>
      </c>
      <c r="AA26" s="5">
        <v>14</v>
      </c>
    </row>
    <row r="27" spans="1:27" x14ac:dyDescent="0.45">
      <c r="A27" s="5" t="s">
        <v>426</v>
      </c>
      <c r="Z27" s="5">
        <v>250000</v>
      </c>
      <c r="AA27" s="5">
        <v>14</v>
      </c>
    </row>
    <row r="28" spans="1:27" x14ac:dyDescent="0.45">
      <c r="A28" s="5" t="s">
        <v>427</v>
      </c>
      <c r="Z28" s="5">
        <v>260000</v>
      </c>
      <c r="AA28" s="5">
        <v>14</v>
      </c>
    </row>
    <row r="29" spans="1:27" x14ac:dyDescent="0.45">
      <c r="A29" s="5" t="s">
        <v>428</v>
      </c>
      <c r="Z29" s="5">
        <v>270000</v>
      </c>
      <c r="AA29" s="5">
        <v>14</v>
      </c>
    </row>
    <row r="30" spans="1:27" x14ac:dyDescent="0.45">
      <c r="A30" s="5" t="s">
        <v>429</v>
      </c>
      <c r="Z30" s="5">
        <v>280000</v>
      </c>
      <c r="AA30" s="5">
        <v>15</v>
      </c>
    </row>
    <row r="31" spans="1:27" x14ac:dyDescent="0.45">
      <c r="A31" s="5" t="s">
        <v>430</v>
      </c>
      <c r="Z31" s="5">
        <v>290000</v>
      </c>
      <c r="AA31" s="5">
        <v>16</v>
      </c>
    </row>
    <row r="32" spans="1:27" x14ac:dyDescent="0.45">
      <c r="A32" s="5" t="s">
        <v>431</v>
      </c>
      <c r="Z32" s="5">
        <v>300000</v>
      </c>
      <c r="AA32" s="5">
        <v>16</v>
      </c>
    </row>
    <row r="33" spans="1:27" x14ac:dyDescent="0.45">
      <c r="A33" s="5" t="s">
        <v>432</v>
      </c>
      <c r="Z33" s="5">
        <v>310000</v>
      </c>
      <c r="AA33" s="5">
        <v>17</v>
      </c>
    </row>
    <row r="34" spans="1:27" x14ac:dyDescent="0.45">
      <c r="A34" s="5" t="s">
        <v>433</v>
      </c>
      <c r="Z34" s="5">
        <v>320000</v>
      </c>
      <c r="AA34" s="5">
        <v>17</v>
      </c>
    </row>
    <row r="35" spans="1:27" x14ac:dyDescent="0.45">
      <c r="A35" s="5" t="s">
        <v>434</v>
      </c>
      <c r="Z35" s="5">
        <v>330000</v>
      </c>
      <c r="AA35" s="5">
        <v>17</v>
      </c>
    </row>
    <row r="36" spans="1:27" x14ac:dyDescent="0.45">
      <c r="A36" s="5" t="s">
        <v>435</v>
      </c>
      <c r="Z36" s="5">
        <v>340000</v>
      </c>
      <c r="AA36" s="5">
        <v>17</v>
      </c>
    </row>
    <row r="37" spans="1:27" x14ac:dyDescent="0.45">
      <c r="A37" s="5" t="s">
        <v>436</v>
      </c>
      <c r="Z37" s="5">
        <v>350000</v>
      </c>
      <c r="AA37" s="5">
        <v>17</v>
      </c>
    </row>
    <row r="38" spans="1:27" x14ac:dyDescent="0.45">
      <c r="A38" s="5" t="s">
        <v>437</v>
      </c>
      <c r="Z38" s="5">
        <v>360000</v>
      </c>
      <c r="AA38" s="5">
        <v>18</v>
      </c>
    </row>
    <row r="39" spans="1:27" x14ac:dyDescent="0.45">
      <c r="A39" s="5" t="s">
        <v>438</v>
      </c>
      <c r="Z39" s="5">
        <v>370000</v>
      </c>
      <c r="AA39" s="5">
        <v>18</v>
      </c>
    </row>
    <row r="40" spans="1:27" x14ac:dyDescent="0.45">
      <c r="A40" s="5" t="s">
        <v>439</v>
      </c>
      <c r="Z40" s="5">
        <v>380000</v>
      </c>
      <c r="AA40" s="5">
        <v>20</v>
      </c>
    </row>
    <row r="41" spans="1:27" x14ac:dyDescent="0.45">
      <c r="A41" s="5" t="s">
        <v>440</v>
      </c>
      <c r="Z41" s="5">
        <v>390000</v>
      </c>
      <c r="AA41" s="5">
        <v>20</v>
      </c>
    </row>
    <row r="42" spans="1:27" x14ac:dyDescent="0.45">
      <c r="A42" s="5" t="s">
        <v>441</v>
      </c>
      <c r="Z42" s="5">
        <v>400000</v>
      </c>
      <c r="AA42" s="5">
        <v>26</v>
      </c>
    </row>
    <row r="43" spans="1:27" x14ac:dyDescent="0.45">
      <c r="A43" s="5" t="s">
        <v>442</v>
      </c>
      <c r="Z43" s="5">
        <v>410000</v>
      </c>
      <c r="AA43" s="5">
        <v>26</v>
      </c>
    </row>
    <row r="44" spans="1:27" x14ac:dyDescent="0.45">
      <c r="A44" s="5" t="s">
        <v>443</v>
      </c>
      <c r="Z44" s="5">
        <v>450000</v>
      </c>
      <c r="AA44" s="5">
        <v>26</v>
      </c>
    </row>
    <row r="45" spans="1:27" x14ac:dyDescent="0.45">
      <c r="A45" s="5" t="s">
        <v>444</v>
      </c>
      <c r="Z45" s="5">
        <v>460000</v>
      </c>
      <c r="AA45" s="5">
        <v>26</v>
      </c>
    </row>
    <row r="46" spans="1:27" x14ac:dyDescent="0.45">
      <c r="A46" s="5" t="s">
        <v>445</v>
      </c>
      <c r="Z46" s="5">
        <v>500000</v>
      </c>
      <c r="AA46" s="5">
        <v>27</v>
      </c>
    </row>
    <row r="47" spans="1:27" x14ac:dyDescent="0.45">
      <c r="A47" s="5" t="s">
        <v>446</v>
      </c>
      <c r="Z47" s="5">
        <v>550000</v>
      </c>
      <c r="AA47" s="5">
        <v>28</v>
      </c>
    </row>
    <row r="48" spans="1:27" x14ac:dyDescent="0.45">
      <c r="A48" s="5" t="s">
        <v>447</v>
      </c>
      <c r="Z48" s="5">
        <v>600000</v>
      </c>
      <c r="AA48" s="5">
        <v>29</v>
      </c>
    </row>
    <row r="49" spans="1:27" x14ac:dyDescent="0.45">
      <c r="A49" s="5" t="s">
        <v>448</v>
      </c>
      <c r="Z49" s="5">
        <v>650000</v>
      </c>
      <c r="AA49" s="5">
        <v>30</v>
      </c>
    </row>
    <row r="50" spans="1:27" x14ac:dyDescent="0.45">
      <c r="A50" s="5" t="s">
        <v>449</v>
      </c>
      <c r="Z50" s="5">
        <v>700000</v>
      </c>
      <c r="AA50" s="5">
        <v>32</v>
      </c>
    </row>
    <row r="51" spans="1:27" x14ac:dyDescent="0.45">
      <c r="A51" s="5" t="s">
        <v>450</v>
      </c>
      <c r="Z51" s="5">
        <v>800000</v>
      </c>
      <c r="AA51" s="5">
        <v>35</v>
      </c>
    </row>
    <row r="52" spans="1:27" x14ac:dyDescent="0.45">
      <c r="A52" s="5" t="s">
        <v>451</v>
      </c>
      <c r="Z52" s="5">
        <v>1000000</v>
      </c>
      <c r="AA52" s="5">
        <v>45</v>
      </c>
    </row>
    <row r="53" spans="1:27" x14ac:dyDescent="0.45">
      <c r="A53" s="5" t="s">
        <v>452</v>
      </c>
    </row>
    <row r="54" spans="1:27" x14ac:dyDescent="0.45">
      <c r="A54" s="5" t="s">
        <v>453</v>
      </c>
    </row>
    <row r="55" spans="1:27" x14ac:dyDescent="0.45">
      <c r="A55" s="5" t="s">
        <v>454</v>
      </c>
    </row>
    <row r="56" spans="1:27" x14ac:dyDescent="0.45">
      <c r="A56" s="5" t="s">
        <v>455</v>
      </c>
    </row>
    <row r="57" spans="1:27" x14ac:dyDescent="0.45">
      <c r="A57" s="5" t="s">
        <v>456</v>
      </c>
    </row>
    <row r="58" spans="1:27" x14ac:dyDescent="0.45">
      <c r="A58" s="5" t="s">
        <v>457</v>
      </c>
    </row>
    <row r="59" spans="1:27" x14ac:dyDescent="0.45">
      <c r="A59" s="5" t="s">
        <v>458</v>
      </c>
    </row>
    <row r="60" spans="1:27" x14ac:dyDescent="0.45">
      <c r="A60" s="5" t="s">
        <v>459</v>
      </c>
    </row>
    <row r="61" spans="1:27" x14ac:dyDescent="0.45">
      <c r="A61" s="5" t="s">
        <v>460</v>
      </c>
    </row>
    <row r="62" spans="1:27" x14ac:dyDescent="0.45">
      <c r="A62" s="5" t="s">
        <v>461</v>
      </c>
    </row>
    <row r="63" spans="1:27" x14ac:dyDescent="0.45">
      <c r="A63" s="5" t="s">
        <v>462</v>
      </c>
    </row>
    <row r="64" spans="1:27" x14ac:dyDescent="0.45">
      <c r="A64" s="5" t="s">
        <v>463</v>
      </c>
    </row>
    <row r="65" spans="1:1" x14ac:dyDescent="0.45">
      <c r="A65" s="5" t="s">
        <v>464</v>
      </c>
    </row>
    <row r="66" spans="1:1" x14ac:dyDescent="0.45">
      <c r="A66" s="5" t="s">
        <v>465</v>
      </c>
    </row>
    <row r="67" spans="1:1" x14ac:dyDescent="0.45">
      <c r="A67" s="5" t="s">
        <v>466</v>
      </c>
    </row>
    <row r="68" spans="1:1" x14ac:dyDescent="0.45">
      <c r="A68" s="5" t="s">
        <v>467</v>
      </c>
    </row>
    <row r="69" spans="1:1" x14ac:dyDescent="0.45">
      <c r="A69" s="5" t="s">
        <v>468</v>
      </c>
    </row>
    <row r="70" spans="1:1" x14ac:dyDescent="0.45">
      <c r="A70" s="5" t="s">
        <v>469</v>
      </c>
    </row>
    <row r="71" spans="1:1" x14ac:dyDescent="0.45">
      <c r="A71" s="5" t="s">
        <v>470</v>
      </c>
    </row>
    <row r="72" spans="1:1" x14ac:dyDescent="0.45">
      <c r="A72" s="5" t="s">
        <v>471</v>
      </c>
    </row>
    <row r="73" spans="1:1" x14ac:dyDescent="0.45">
      <c r="A73" s="5" t="s">
        <v>472</v>
      </c>
    </row>
    <row r="74" spans="1:1" x14ac:dyDescent="0.45">
      <c r="A74" s="5" t="s">
        <v>473</v>
      </c>
    </row>
    <row r="75" spans="1:1" x14ac:dyDescent="0.45">
      <c r="A75" s="5" t="s">
        <v>474</v>
      </c>
    </row>
    <row r="76" spans="1:1" x14ac:dyDescent="0.45">
      <c r="A76" s="5" t="s">
        <v>475</v>
      </c>
    </row>
    <row r="77" spans="1:1" x14ac:dyDescent="0.45">
      <c r="A77" s="5" t="s">
        <v>476</v>
      </c>
    </row>
    <row r="78" spans="1:1" x14ac:dyDescent="0.45">
      <c r="A78" s="5" t="s">
        <v>477</v>
      </c>
    </row>
    <row r="79" spans="1:1" x14ac:dyDescent="0.45">
      <c r="A79" s="5" t="s">
        <v>478</v>
      </c>
    </row>
    <row r="80" spans="1:1" x14ac:dyDescent="0.45">
      <c r="A80" s="5" t="s">
        <v>479</v>
      </c>
    </row>
    <row r="81" spans="1:1" x14ac:dyDescent="0.45">
      <c r="A81" s="5" t="s">
        <v>480</v>
      </c>
    </row>
    <row r="82" spans="1:1" x14ac:dyDescent="0.45">
      <c r="A82" s="5" t="s">
        <v>481</v>
      </c>
    </row>
    <row r="83" spans="1:1" x14ac:dyDescent="0.45">
      <c r="A83" s="5" t="s">
        <v>482</v>
      </c>
    </row>
    <row r="84" spans="1:1" x14ac:dyDescent="0.45">
      <c r="A84" s="5" t="s">
        <v>483</v>
      </c>
    </row>
    <row r="85" spans="1:1" x14ac:dyDescent="0.45">
      <c r="A85" s="5" t="s">
        <v>484</v>
      </c>
    </row>
    <row r="86" spans="1:1" x14ac:dyDescent="0.45">
      <c r="A86" s="5" t="s">
        <v>485</v>
      </c>
    </row>
    <row r="87" spans="1:1" x14ac:dyDescent="0.45">
      <c r="A87" s="5" t="s">
        <v>486</v>
      </c>
    </row>
    <row r="88" spans="1:1" x14ac:dyDescent="0.45">
      <c r="A88" s="5" t="s">
        <v>487</v>
      </c>
    </row>
    <row r="89" spans="1:1" x14ac:dyDescent="0.45">
      <c r="A89" s="5" t="s">
        <v>488</v>
      </c>
    </row>
    <row r="90" spans="1:1" x14ac:dyDescent="0.45">
      <c r="A90" s="5" t="s">
        <v>489</v>
      </c>
    </row>
    <row r="91" spans="1:1" x14ac:dyDescent="0.45">
      <c r="A91" s="5" t="s">
        <v>490</v>
      </c>
    </row>
    <row r="92" spans="1:1" x14ac:dyDescent="0.45">
      <c r="A92" s="5" t="s">
        <v>491</v>
      </c>
    </row>
    <row r="93" spans="1:1" x14ac:dyDescent="0.45">
      <c r="A93" s="5" t="s">
        <v>492</v>
      </c>
    </row>
    <row r="94" spans="1:1" x14ac:dyDescent="0.45">
      <c r="A94" s="5" t="s">
        <v>493</v>
      </c>
    </row>
    <row r="95" spans="1:1" x14ac:dyDescent="0.45">
      <c r="A95" s="5" t="s">
        <v>494</v>
      </c>
    </row>
    <row r="96" spans="1:1" x14ac:dyDescent="0.45">
      <c r="A96" s="5" t="s">
        <v>495</v>
      </c>
    </row>
    <row r="97" spans="1:1" x14ac:dyDescent="0.45">
      <c r="A97" s="5" t="s">
        <v>496</v>
      </c>
    </row>
    <row r="98" spans="1:1" x14ac:dyDescent="0.45">
      <c r="A98" s="5" t="s">
        <v>497</v>
      </c>
    </row>
    <row r="99" spans="1:1" x14ac:dyDescent="0.45">
      <c r="A99" s="5" t="s">
        <v>498</v>
      </c>
    </row>
    <row r="100" spans="1:1" x14ac:dyDescent="0.45">
      <c r="A100" s="5" t="s">
        <v>499</v>
      </c>
    </row>
    <row r="101" spans="1:1" x14ac:dyDescent="0.45">
      <c r="A101" s="5" t="s">
        <v>500</v>
      </c>
    </row>
    <row r="102" spans="1:1" x14ac:dyDescent="0.45">
      <c r="A102" s="5" t="s">
        <v>501</v>
      </c>
    </row>
    <row r="103" spans="1:1" x14ac:dyDescent="0.45">
      <c r="A103" s="5" t="s">
        <v>502</v>
      </c>
    </row>
    <row r="104" spans="1:1" x14ac:dyDescent="0.45">
      <c r="A104" s="5" t="s">
        <v>503</v>
      </c>
    </row>
    <row r="105" spans="1:1" x14ac:dyDescent="0.45">
      <c r="A105" s="5" t="s">
        <v>504</v>
      </c>
    </row>
    <row r="106" spans="1:1" x14ac:dyDescent="0.45">
      <c r="A106" s="5" t="s">
        <v>505</v>
      </c>
    </row>
    <row r="107" spans="1:1" x14ac:dyDescent="0.45">
      <c r="A107" s="5" t="s">
        <v>506</v>
      </c>
    </row>
    <row r="108" spans="1:1" x14ac:dyDescent="0.45">
      <c r="A108" s="5" t="s">
        <v>507</v>
      </c>
    </row>
    <row r="109" spans="1:1" x14ac:dyDescent="0.45">
      <c r="A109" s="5" t="s">
        <v>508</v>
      </c>
    </row>
    <row r="110" spans="1:1" x14ac:dyDescent="0.45">
      <c r="A110" s="5" t="s">
        <v>509</v>
      </c>
    </row>
    <row r="111" spans="1:1" x14ac:dyDescent="0.45">
      <c r="A111" s="5" t="s">
        <v>510</v>
      </c>
    </row>
    <row r="112" spans="1:1" x14ac:dyDescent="0.45">
      <c r="A112" s="5" t="s">
        <v>511</v>
      </c>
    </row>
    <row r="113" spans="1:1" x14ac:dyDescent="0.45">
      <c r="A113" s="5" t="s">
        <v>512</v>
      </c>
    </row>
    <row r="114" spans="1:1" x14ac:dyDescent="0.45">
      <c r="A114" s="5" t="s">
        <v>513</v>
      </c>
    </row>
    <row r="115" spans="1:1" x14ac:dyDescent="0.45">
      <c r="A115" s="5" t="s">
        <v>514</v>
      </c>
    </row>
    <row r="116" spans="1:1" x14ac:dyDescent="0.45">
      <c r="A116" s="5" t="s">
        <v>515</v>
      </c>
    </row>
    <row r="117" spans="1:1" x14ac:dyDescent="0.45">
      <c r="A117" s="5" t="s">
        <v>516</v>
      </c>
    </row>
    <row r="118" spans="1:1" x14ac:dyDescent="0.45">
      <c r="A118" s="5" t="s">
        <v>517</v>
      </c>
    </row>
    <row r="119" spans="1:1" x14ac:dyDescent="0.45">
      <c r="A119" s="5" t="s">
        <v>518</v>
      </c>
    </row>
    <row r="120" spans="1:1" x14ac:dyDescent="0.45">
      <c r="A120" s="5" t="s">
        <v>519</v>
      </c>
    </row>
    <row r="121" spans="1:1" x14ac:dyDescent="0.45">
      <c r="A121" s="5" t="s">
        <v>520</v>
      </c>
    </row>
    <row r="122" spans="1:1" x14ac:dyDescent="0.45">
      <c r="A122" s="5" t="s">
        <v>521</v>
      </c>
    </row>
    <row r="123" spans="1:1" x14ac:dyDescent="0.45">
      <c r="A123" s="5" t="s">
        <v>522</v>
      </c>
    </row>
    <row r="124" spans="1:1" x14ac:dyDescent="0.45">
      <c r="A124" s="5" t="s">
        <v>523</v>
      </c>
    </row>
    <row r="125" spans="1:1" x14ac:dyDescent="0.45">
      <c r="A125" s="5" t="s">
        <v>524</v>
      </c>
    </row>
    <row r="126" spans="1:1" x14ac:dyDescent="0.45">
      <c r="A126" s="5" t="s">
        <v>525</v>
      </c>
    </row>
    <row r="127" spans="1:1" x14ac:dyDescent="0.45">
      <c r="A127" s="5" t="s">
        <v>526</v>
      </c>
    </row>
    <row r="128" spans="1:1" x14ac:dyDescent="0.45">
      <c r="A128" s="5" t="s">
        <v>527</v>
      </c>
    </row>
    <row r="129" spans="1:1" x14ac:dyDescent="0.45">
      <c r="A129" s="5" t="s">
        <v>528</v>
      </c>
    </row>
    <row r="130" spans="1:1" x14ac:dyDescent="0.45">
      <c r="A130" s="5" t="s">
        <v>529</v>
      </c>
    </row>
    <row r="131" spans="1:1" x14ac:dyDescent="0.45">
      <c r="A131" s="5" t="s">
        <v>530</v>
      </c>
    </row>
    <row r="132" spans="1:1" x14ac:dyDescent="0.45">
      <c r="A132" s="5" t="s">
        <v>531</v>
      </c>
    </row>
    <row r="133" spans="1:1" x14ac:dyDescent="0.45">
      <c r="A133" s="5" t="s">
        <v>532</v>
      </c>
    </row>
    <row r="134" spans="1:1" x14ac:dyDescent="0.45">
      <c r="A134" s="5" t="s">
        <v>533</v>
      </c>
    </row>
    <row r="135" spans="1:1" x14ac:dyDescent="0.45">
      <c r="A135" s="5" t="s">
        <v>534</v>
      </c>
    </row>
    <row r="136" spans="1:1" x14ac:dyDescent="0.45">
      <c r="A136" s="5" t="s">
        <v>535</v>
      </c>
    </row>
    <row r="137" spans="1:1" x14ac:dyDescent="0.45">
      <c r="A137" s="5" t="s">
        <v>536</v>
      </c>
    </row>
    <row r="138" spans="1:1" x14ac:dyDescent="0.45">
      <c r="A138" s="5" t="s">
        <v>537</v>
      </c>
    </row>
    <row r="139" spans="1:1" x14ac:dyDescent="0.45">
      <c r="A139" s="5" t="s">
        <v>538</v>
      </c>
    </row>
    <row r="140" spans="1:1" x14ac:dyDescent="0.45">
      <c r="A140" s="5" t="s">
        <v>539</v>
      </c>
    </row>
    <row r="141" spans="1:1" x14ac:dyDescent="0.45">
      <c r="A141" s="5" t="s">
        <v>540</v>
      </c>
    </row>
    <row r="142" spans="1:1" x14ac:dyDescent="0.45">
      <c r="A142" s="5" t="s">
        <v>541</v>
      </c>
    </row>
    <row r="143" spans="1:1" x14ac:dyDescent="0.45">
      <c r="A143" s="5" t="s">
        <v>542</v>
      </c>
    </row>
    <row r="144" spans="1:1" x14ac:dyDescent="0.45">
      <c r="A144" s="5" t="s">
        <v>543</v>
      </c>
    </row>
    <row r="145" spans="1:1" x14ac:dyDescent="0.45">
      <c r="A145" s="5" t="s">
        <v>544</v>
      </c>
    </row>
    <row r="146" spans="1:1" x14ac:dyDescent="0.45">
      <c r="A146" s="5" t="s">
        <v>545</v>
      </c>
    </row>
    <row r="147" spans="1:1" x14ac:dyDescent="0.45">
      <c r="A147" s="5" t="s">
        <v>546</v>
      </c>
    </row>
    <row r="148" spans="1:1" x14ac:dyDescent="0.45">
      <c r="A148" s="5" t="s">
        <v>547</v>
      </c>
    </row>
    <row r="149" spans="1:1" x14ac:dyDescent="0.45">
      <c r="A149" s="5" t="s">
        <v>548</v>
      </c>
    </row>
    <row r="150" spans="1:1" x14ac:dyDescent="0.45">
      <c r="A150" s="5" t="s">
        <v>549</v>
      </c>
    </row>
    <row r="151" spans="1:1" x14ac:dyDescent="0.45">
      <c r="A151" s="5" t="s">
        <v>550</v>
      </c>
    </row>
    <row r="152" spans="1:1" x14ac:dyDescent="0.45">
      <c r="A152" s="5" t="s">
        <v>551</v>
      </c>
    </row>
    <row r="153" spans="1:1" x14ac:dyDescent="0.45">
      <c r="A153" s="5" t="s">
        <v>552</v>
      </c>
    </row>
    <row r="154" spans="1:1" x14ac:dyDescent="0.45">
      <c r="A154" s="5" t="s">
        <v>553</v>
      </c>
    </row>
    <row r="155" spans="1:1" x14ac:dyDescent="0.45">
      <c r="A155" s="5" t="s">
        <v>554</v>
      </c>
    </row>
    <row r="156" spans="1:1" x14ac:dyDescent="0.45">
      <c r="A156" s="5" t="s">
        <v>555</v>
      </c>
    </row>
    <row r="157" spans="1:1" x14ac:dyDescent="0.45">
      <c r="A157" s="5" t="s">
        <v>556</v>
      </c>
    </row>
    <row r="158" spans="1:1" x14ac:dyDescent="0.45">
      <c r="A158" s="5" t="s">
        <v>557</v>
      </c>
    </row>
    <row r="159" spans="1:1" x14ac:dyDescent="0.45">
      <c r="A159" s="5" t="s">
        <v>558</v>
      </c>
    </row>
    <row r="160" spans="1:1" x14ac:dyDescent="0.45">
      <c r="A160" s="5" t="s">
        <v>559</v>
      </c>
    </row>
    <row r="161" spans="1:1" x14ac:dyDescent="0.45">
      <c r="A161" s="5" t="s">
        <v>560</v>
      </c>
    </row>
    <row r="162" spans="1:1" x14ac:dyDescent="0.45">
      <c r="A162" s="5" t="s">
        <v>561</v>
      </c>
    </row>
    <row r="163" spans="1:1" x14ac:dyDescent="0.45">
      <c r="A163" s="5" t="s">
        <v>562</v>
      </c>
    </row>
    <row r="164" spans="1:1" x14ac:dyDescent="0.45">
      <c r="A164" s="5" t="s">
        <v>563</v>
      </c>
    </row>
    <row r="165" spans="1:1" x14ac:dyDescent="0.45">
      <c r="A165" s="5" t="s">
        <v>564</v>
      </c>
    </row>
    <row r="166" spans="1:1" x14ac:dyDescent="0.45">
      <c r="A166" s="5" t="s">
        <v>565</v>
      </c>
    </row>
    <row r="167" spans="1:1" x14ac:dyDescent="0.45">
      <c r="A167" s="5" t="s">
        <v>566</v>
      </c>
    </row>
    <row r="168" spans="1:1" x14ac:dyDescent="0.45">
      <c r="A168" s="5" t="s">
        <v>567</v>
      </c>
    </row>
    <row r="169" spans="1:1" x14ac:dyDescent="0.45">
      <c r="A169" s="5" t="s">
        <v>568</v>
      </c>
    </row>
    <row r="170" spans="1:1" x14ac:dyDescent="0.45">
      <c r="A170" s="5" t="s">
        <v>569</v>
      </c>
    </row>
    <row r="171" spans="1:1" x14ac:dyDescent="0.45">
      <c r="A171" s="5" t="s">
        <v>570</v>
      </c>
    </row>
    <row r="172" spans="1:1" x14ac:dyDescent="0.45">
      <c r="A172" s="5" t="s">
        <v>571</v>
      </c>
    </row>
    <row r="173" spans="1:1" x14ac:dyDescent="0.45">
      <c r="A173" s="5" t="s">
        <v>572</v>
      </c>
    </row>
    <row r="174" spans="1:1" x14ac:dyDescent="0.45">
      <c r="A174" s="5" t="s">
        <v>573</v>
      </c>
    </row>
    <row r="175" spans="1:1" x14ac:dyDescent="0.45">
      <c r="A175" s="5" t="s">
        <v>574</v>
      </c>
    </row>
    <row r="176" spans="1:1" x14ac:dyDescent="0.45">
      <c r="A176" s="5" t="s">
        <v>575</v>
      </c>
    </row>
    <row r="177" spans="1:1" x14ac:dyDescent="0.45">
      <c r="A177" s="5" t="s">
        <v>576</v>
      </c>
    </row>
    <row r="178" spans="1:1" x14ac:dyDescent="0.45">
      <c r="A178" s="5" t="s">
        <v>577</v>
      </c>
    </row>
    <row r="179" spans="1:1" x14ac:dyDescent="0.45">
      <c r="A179" s="5" t="s">
        <v>578</v>
      </c>
    </row>
    <row r="180" spans="1:1" x14ac:dyDescent="0.45">
      <c r="A180" s="5" t="s">
        <v>579</v>
      </c>
    </row>
    <row r="181" spans="1:1" x14ac:dyDescent="0.45">
      <c r="A181" s="5" t="s">
        <v>580</v>
      </c>
    </row>
    <row r="182" spans="1:1" x14ac:dyDescent="0.45">
      <c r="A182" s="5" t="s">
        <v>581</v>
      </c>
    </row>
    <row r="183" spans="1:1" x14ac:dyDescent="0.45">
      <c r="A183" s="5" t="s">
        <v>582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4"/>
  <sheetViews>
    <sheetView rightToLeft="1" zoomScaleNormal="100" workbookViewId="0">
      <pane ySplit="1" topLeftCell="A2" activePane="bottomLeft" state="frozen"/>
      <selection pane="bottomLeft" activeCell="E19" sqref="E19"/>
    </sheetView>
  </sheetViews>
  <sheetFormatPr defaultRowHeight="14.25" x14ac:dyDescent="0.45"/>
  <cols>
    <col min="1" max="4" width="9.1328125" style="8"/>
    <col min="5" max="5" width="19.59765625" style="8" customWidth="1"/>
    <col min="6" max="6" width="17.1328125" style="8" bestFit="1" customWidth="1"/>
    <col min="7" max="7" width="12.59765625" style="8" customWidth="1"/>
    <col min="8" max="8" width="10.86328125" style="8" customWidth="1"/>
    <col min="9" max="9" width="22.3984375" style="8" bestFit="1" customWidth="1"/>
    <col min="10" max="10" width="9" style="5" customWidth="1"/>
  </cols>
  <sheetData>
    <row r="1" spans="1:22" ht="21.4" x14ac:dyDescent="1">
      <c r="A1" s="9" t="s">
        <v>605</v>
      </c>
      <c r="B1" s="9" t="s">
        <v>606</v>
      </c>
      <c r="C1" s="9" t="s">
        <v>607</v>
      </c>
      <c r="D1" s="9" t="s">
        <v>608</v>
      </c>
      <c r="E1" s="9" t="s">
        <v>609</v>
      </c>
      <c r="F1" s="9" t="s">
        <v>610</v>
      </c>
      <c r="G1" s="9" t="s">
        <v>611</v>
      </c>
      <c r="H1" s="9" t="s">
        <v>612</v>
      </c>
      <c r="I1" s="32" t="s">
        <v>613</v>
      </c>
      <c r="J1" s="9" t="s">
        <v>614</v>
      </c>
    </row>
    <row r="2" spans="1:22" x14ac:dyDescent="0.45">
      <c r="A2" s="5">
        <f t="shared" ref="A2:A33" si="0">ROW(A2)-1</f>
        <v>1</v>
      </c>
      <c r="B2" s="5">
        <v>1405</v>
      </c>
      <c r="C2" s="5" t="s">
        <v>46</v>
      </c>
      <c r="D2" s="5">
        <v>2</v>
      </c>
      <c r="E2" s="5" t="s">
        <v>67</v>
      </c>
      <c r="F2" s="5">
        <v>4.84</v>
      </c>
      <c r="G2" s="5">
        <v>2.1</v>
      </c>
      <c r="H2" s="5">
        <v>4.3</v>
      </c>
      <c r="I2" s="6">
        <v>4.25</v>
      </c>
      <c r="J2" s="5">
        <f t="shared" ref="J2:J33" si="1">((F2*1.75)+(G2*1.75)+(H2)+(I2*0.5))/5</f>
        <v>3.714</v>
      </c>
    </row>
    <row r="3" spans="1:22" x14ac:dyDescent="0.45">
      <c r="A3" s="5">
        <f t="shared" si="0"/>
        <v>2</v>
      </c>
      <c r="B3" s="5">
        <v>1405</v>
      </c>
      <c r="C3" s="5" t="s">
        <v>46</v>
      </c>
      <c r="D3" s="5">
        <v>2</v>
      </c>
      <c r="E3" s="5" t="s">
        <v>602</v>
      </c>
      <c r="F3" s="5">
        <v>4.57</v>
      </c>
      <c r="G3" s="5">
        <v>1.68</v>
      </c>
      <c r="H3" s="5">
        <v>3.3</v>
      </c>
      <c r="I3" s="6">
        <v>5</v>
      </c>
      <c r="J3" s="5">
        <f t="shared" si="1"/>
        <v>3.3475000000000001</v>
      </c>
    </row>
    <row r="4" spans="1:22" x14ac:dyDescent="0.45">
      <c r="A4" s="5">
        <f t="shared" si="0"/>
        <v>3</v>
      </c>
      <c r="B4" s="5">
        <v>1405</v>
      </c>
      <c r="C4" s="5" t="s">
        <v>46</v>
      </c>
      <c r="D4" s="5">
        <v>2</v>
      </c>
      <c r="E4" s="7" t="s">
        <v>600</v>
      </c>
      <c r="F4" s="5">
        <v>3.84</v>
      </c>
      <c r="G4" s="5">
        <v>1.68</v>
      </c>
      <c r="H4" s="5">
        <v>3.3</v>
      </c>
      <c r="I4" s="6">
        <v>4</v>
      </c>
      <c r="J4" s="5">
        <f t="shared" si="1"/>
        <v>2.992</v>
      </c>
    </row>
    <row r="5" spans="1:22" x14ac:dyDescent="0.45">
      <c r="A5" s="5">
        <f t="shared" si="0"/>
        <v>4</v>
      </c>
      <c r="B5" s="5">
        <v>1405</v>
      </c>
      <c r="C5" s="5" t="s">
        <v>46</v>
      </c>
      <c r="D5" s="5">
        <v>2</v>
      </c>
      <c r="E5" s="5" t="s">
        <v>584</v>
      </c>
      <c r="F5" s="5">
        <v>3.46</v>
      </c>
      <c r="G5" s="5">
        <v>1.68</v>
      </c>
      <c r="H5" s="5">
        <v>3.7</v>
      </c>
      <c r="I5" s="6">
        <v>3.75</v>
      </c>
      <c r="J5" s="5">
        <f t="shared" si="1"/>
        <v>2.9140000000000001</v>
      </c>
    </row>
    <row r="6" spans="1:22" x14ac:dyDescent="0.45">
      <c r="A6" s="5">
        <f t="shared" si="0"/>
        <v>5</v>
      </c>
      <c r="B6" s="5">
        <v>1405</v>
      </c>
      <c r="C6" s="5" t="s">
        <v>46</v>
      </c>
      <c r="D6" s="5">
        <v>2</v>
      </c>
      <c r="E6" s="5" t="s">
        <v>66</v>
      </c>
      <c r="F6" s="5">
        <v>3.88</v>
      </c>
      <c r="G6" s="5">
        <v>1.68</v>
      </c>
      <c r="H6" s="5">
        <v>3.7</v>
      </c>
      <c r="I6" s="6">
        <v>2</v>
      </c>
      <c r="J6" s="5">
        <f t="shared" si="1"/>
        <v>2.8860000000000001</v>
      </c>
    </row>
    <row r="7" spans="1:22" x14ac:dyDescent="0.45">
      <c r="A7" s="5">
        <f t="shared" si="0"/>
        <v>6</v>
      </c>
      <c r="B7" s="5">
        <v>1405</v>
      </c>
      <c r="C7" s="5" t="s">
        <v>46</v>
      </c>
      <c r="D7" s="5">
        <v>2</v>
      </c>
      <c r="E7" s="5" t="s">
        <v>585</v>
      </c>
      <c r="F7" s="5">
        <v>3.69</v>
      </c>
      <c r="G7" s="5">
        <v>1.68</v>
      </c>
      <c r="H7" s="5">
        <v>3.1</v>
      </c>
      <c r="I7" s="6">
        <v>3.75</v>
      </c>
      <c r="J7" s="5">
        <f t="shared" si="1"/>
        <v>2.8744999999999998</v>
      </c>
    </row>
    <row r="8" spans="1:22" x14ac:dyDescent="0.45">
      <c r="A8" s="5">
        <f t="shared" si="0"/>
        <v>7</v>
      </c>
      <c r="B8" s="5">
        <v>1405</v>
      </c>
      <c r="C8" s="5" t="s">
        <v>46</v>
      </c>
      <c r="D8" s="5">
        <v>2</v>
      </c>
      <c r="E8" s="5" t="s">
        <v>583</v>
      </c>
      <c r="F8" s="5">
        <v>3.38</v>
      </c>
      <c r="G8" s="5">
        <v>1.68</v>
      </c>
      <c r="H8" s="5">
        <v>3.1</v>
      </c>
      <c r="I8" s="6">
        <v>2.75</v>
      </c>
      <c r="J8" s="5">
        <f t="shared" si="1"/>
        <v>2.6659999999999999</v>
      </c>
    </row>
    <row r="9" spans="1:22" x14ac:dyDescent="0.45">
      <c r="A9" s="5">
        <f t="shared" si="0"/>
        <v>8</v>
      </c>
      <c r="B9" s="5">
        <v>1405</v>
      </c>
      <c r="C9" s="5" t="s">
        <v>46</v>
      </c>
      <c r="D9" s="5">
        <v>2</v>
      </c>
      <c r="E9" s="5" t="s">
        <v>47</v>
      </c>
      <c r="F9" s="5">
        <v>3.15</v>
      </c>
      <c r="G9" s="5">
        <v>1.68</v>
      </c>
      <c r="H9" s="5">
        <v>2.8</v>
      </c>
      <c r="I9" s="6">
        <v>3.5</v>
      </c>
      <c r="J9" s="5">
        <f t="shared" si="1"/>
        <v>2.6005000000000003</v>
      </c>
    </row>
    <row r="10" spans="1:22" x14ac:dyDescent="0.45">
      <c r="A10" s="5">
        <f t="shared" si="0"/>
        <v>9</v>
      </c>
      <c r="B10" s="5">
        <v>1405</v>
      </c>
      <c r="C10" s="5" t="s">
        <v>46</v>
      </c>
      <c r="D10" s="5">
        <v>2</v>
      </c>
      <c r="E10" s="5" t="s">
        <v>588</v>
      </c>
      <c r="F10" s="5">
        <v>2.88</v>
      </c>
      <c r="G10" s="5">
        <v>1.68</v>
      </c>
      <c r="H10" s="5">
        <v>2.6</v>
      </c>
      <c r="I10" s="6">
        <v>4.25</v>
      </c>
      <c r="J10" s="5">
        <f t="shared" si="1"/>
        <v>2.5409999999999999</v>
      </c>
    </row>
    <row r="11" spans="1:22" x14ac:dyDescent="0.45">
      <c r="A11" s="5">
        <f t="shared" si="0"/>
        <v>10</v>
      </c>
      <c r="B11" s="5">
        <v>1405</v>
      </c>
      <c r="C11" s="5" t="s">
        <v>46</v>
      </c>
      <c r="D11" s="5">
        <v>2</v>
      </c>
      <c r="E11" s="5" t="s">
        <v>586</v>
      </c>
      <c r="F11" s="5">
        <v>2.76</v>
      </c>
      <c r="G11" s="5">
        <v>1.68</v>
      </c>
      <c r="H11" s="5">
        <v>2.6</v>
      </c>
      <c r="I11" s="6">
        <v>3.25</v>
      </c>
      <c r="J11" s="5">
        <f t="shared" si="1"/>
        <v>2.399</v>
      </c>
    </row>
    <row r="12" spans="1:22" x14ac:dyDescent="0.45">
      <c r="A12" s="5">
        <f t="shared" ref="A12:A20" si="2">ROW(A12)-1</f>
        <v>11</v>
      </c>
      <c r="B12" s="5">
        <v>1405</v>
      </c>
      <c r="C12" s="5" t="s">
        <v>46</v>
      </c>
      <c r="D12" s="5">
        <v>3</v>
      </c>
      <c r="E12" s="5" t="s">
        <v>66</v>
      </c>
      <c r="F12" s="5">
        <v>4.384615384615385</v>
      </c>
      <c r="G12" s="5">
        <v>1.7</v>
      </c>
      <c r="H12" s="5">
        <v>3.7</v>
      </c>
      <c r="I12" s="6">
        <v>2.5</v>
      </c>
      <c r="J12" s="5">
        <f>((F12*1.5)+(G12*1.25)+(H12*1.25)+(I12))/5</f>
        <v>3.1653846153846152</v>
      </c>
    </row>
    <row r="13" spans="1:22" x14ac:dyDescent="0.45">
      <c r="A13" s="5">
        <f t="shared" si="2"/>
        <v>12</v>
      </c>
      <c r="B13" s="5">
        <v>1405</v>
      </c>
      <c r="C13" s="5" t="s">
        <v>46</v>
      </c>
      <c r="D13" s="5">
        <v>3</v>
      </c>
      <c r="E13" s="5" t="s">
        <v>585</v>
      </c>
      <c r="F13" s="5">
        <v>3.69</v>
      </c>
      <c r="G13" s="5">
        <v>1.7</v>
      </c>
      <c r="H13" s="5">
        <v>3.5</v>
      </c>
      <c r="I13" s="6">
        <v>3.5</v>
      </c>
      <c r="J13" s="5">
        <f t="shared" ref="J13:J20" si="3">((F13*1.5)+(G13*1.25)+(H13*1.25)+(I13))/5</f>
        <v>3.1070000000000002</v>
      </c>
    </row>
    <row r="14" spans="1:22" x14ac:dyDescent="0.45">
      <c r="A14" s="5">
        <f t="shared" si="2"/>
        <v>13</v>
      </c>
      <c r="B14" s="5">
        <v>1405</v>
      </c>
      <c r="C14" s="5" t="s">
        <v>46</v>
      </c>
      <c r="D14" s="5">
        <v>3</v>
      </c>
      <c r="E14" s="5" t="s">
        <v>602</v>
      </c>
      <c r="F14" s="5">
        <v>3.4230769230769229</v>
      </c>
      <c r="G14" s="5">
        <v>1.7</v>
      </c>
      <c r="H14" s="5">
        <v>3.3</v>
      </c>
      <c r="I14" s="6">
        <v>4</v>
      </c>
      <c r="J14" s="5">
        <f t="shared" si="3"/>
        <v>3.0769230769230766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45">
      <c r="A15" s="5">
        <f t="shared" si="2"/>
        <v>14</v>
      </c>
      <c r="B15" s="5">
        <v>1405</v>
      </c>
      <c r="C15" s="5" t="s">
        <v>46</v>
      </c>
      <c r="D15" s="5">
        <v>3</v>
      </c>
      <c r="E15" s="7" t="s">
        <v>600</v>
      </c>
      <c r="F15" s="5">
        <v>3.4615384615384617</v>
      </c>
      <c r="G15" s="5">
        <v>1.7</v>
      </c>
      <c r="H15" s="5">
        <v>3.2</v>
      </c>
      <c r="I15" s="6">
        <v>4</v>
      </c>
      <c r="J15" s="5">
        <f t="shared" si="3"/>
        <v>3.0634615384615387</v>
      </c>
    </row>
    <row r="16" spans="1:22" x14ac:dyDescent="0.45">
      <c r="A16" s="5">
        <f t="shared" si="2"/>
        <v>15</v>
      </c>
      <c r="B16" s="5">
        <v>1405</v>
      </c>
      <c r="C16" s="5" t="s">
        <v>46</v>
      </c>
      <c r="D16" s="5">
        <v>3</v>
      </c>
      <c r="E16" s="5" t="s">
        <v>584</v>
      </c>
      <c r="F16" s="5">
        <v>3.46</v>
      </c>
      <c r="G16" s="5">
        <v>1.7</v>
      </c>
      <c r="H16" s="5">
        <v>3.4</v>
      </c>
      <c r="I16" s="6">
        <v>3.75</v>
      </c>
      <c r="J16" s="5">
        <f t="shared" si="3"/>
        <v>3.0629999999999997</v>
      </c>
    </row>
    <row r="17" spans="1:10" x14ac:dyDescent="0.45">
      <c r="A17" s="5">
        <f t="shared" si="2"/>
        <v>16</v>
      </c>
      <c r="B17" s="5">
        <v>1405</v>
      </c>
      <c r="C17" s="5" t="s">
        <v>46</v>
      </c>
      <c r="D17" s="5">
        <v>3</v>
      </c>
      <c r="E17" s="5" t="s">
        <v>588</v>
      </c>
      <c r="F17" s="5">
        <v>3.0769230769230771</v>
      </c>
      <c r="G17" s="5">
        <v>1.7</v>
      </c>
      <c r="H17" s="5">
        <v>2.6</v>
      </c>
      <c r="I17" s="6">
        <v>4</v>
      </c>
      <c r="J17" s="5">
        <f t="shared" si="3"/>
        <v>2.7980769230769234</v>
      </c>
    </row>
    <row r="18" spans="1:10" x14ac:dyDescent="0.45">
      <c r="A18" s="5">
        <f t="shared" si="2"/>
        <v>17</v>
      </c>
      <c r="B18" s="5">
        <v>1405</v>
      </c>
      <c r="C18" s="5" t="s">
        <v>46</v>
      </c>
      <c r="D18" s="5">
        <v>3</v>
      </c>
      <c r="E18" s="5" t="s">
        <v>47</v>
      </c>
      <c r="F18" s="5">
        <v>3.15</v>
      </c>
      <c r="G18" s="5">
        <v>1.7</v>
      </c>
      <c r="H18" s="5">
        <v>2.8</v>
      </c>
      <c r="I18" s="6">
        <v>3.5</v>
      </c>
      <c r="J18" s="5">
        <f t="shared" si="3"/>
        <v>2.77</v>
      </c>
    </row>
    <row r="19" spans="1:10" x14ac:dyDescent="0.45">
      <c r="A19" s="5">
        <f t="shared" si="2"/>
        <v>18</v>
      </c>
      <c r="B19" s="5">
        <v>1405</v>
      </c>
      <c r="C19" s="5" t="s">
        <v>46</v>
      </c>
      <c r="D19" s="5">
        <v>3</v>
      </c>
      <c r="E19" s="5" t="s">
        <v>583</v>
      </c>
      <c r="F19" s="5">
        <v>3.38</v>
      </c>
      <c r="G19" s="5">
        <v>1.7</v>
      </c>
      <c r="H19" s="5">
        <v>3.1</v>
      </c>
      <c r="I19" s="6">
        <v>2.75</v>
      </c>
      <c r="J19" s="5">
        <f t="shared" si="3"/>
        <v>2.7640000000000002</v>
      </c>
    </row>
    <row r="20" spans="1:10" x14ac:dyDescent="0.45">
      <c r="A20" s="5">
        <f t="shared" si="2"/>
        <v>19</v>
      </c>
      <c r="B20" s="5">
        <v>1405</v>
      </c>
      <c r="C20" s="5" t="s">
        <v>46</v>
      </c>
      <c r="D20" s="5">
        <v>3</v>
      </c>
      <c r="E20" s="5" t="s">
        <v>586</v>
      </c>
      <c r="F20" s="5">
        <v>2.4230769230769229</v>
      </c>
      <c r="G20" s="5">
        <v>1.7</v>
      </c>
      <c r="H20" s="5">
        <v>2.6</v>
      </c>
      <c r="I20" s="6">
        <v>3</v>
      </c>
      <c r="J20" s="5">
        <f t="shared" si="3"/>
        <v>2.4019230769230768</v>
      </c>
    </row>
    <row r="21" spans="1:10" x14ac:dyDescent="0.45">
      <c r="A21" s="5">
        <f t="shared" si="0"/>
        <v>20</v>
      </c>
      <c r="B21" s="5"/>
      <c r="C21" s="5"/>
      <c r="D21" s="5"/>
      <c r="E21" s="5"/>
      <c r="F21" s="5"/>
      <c r="G21" s="5"/>
      <c r="H21" s="5"/>
      <c r="I21" s="6"/>
      <c r="J21" s="5">
        <f t="shared" si="1"/>
        <v>0</v>
      </c>
    </row>
    <row r="22" spans="1:10" x14ac:dyDescent="0.45">
      <c r="A22" s="5">
        <f t="shared" si="0"/>
        <v>21</v>
      </c>
      <c r="B22" s="5"/>
      <c r="C22" s="5"/>
      <c r="D22" s="5"/>
      <c r="E22" s="5"/>
      <c r="F22" s="5"/>
      <c r="G22" s="5"/>
      <c r="H22" s="5"/>
      <c r="I22" s="6"/>
      <c r="J22" s="5">
        <f t="shared" si="1"/>
        <v>0</v>
      </c>
    </row>
    <row r="23" spans="1:10" x14ac:dyDescent="0.45">
      <c r="A23" s="5">
        <f t="shared" si="0"/>
        <v>22</v>
      </c>
      <c r="B23" s="5"/>
      <c r="C23" s="5"/>
      <c r="D23" s="5"/>
      <c r="E23" s="5"/>
      <c r="F23" s="5"/>
      <c r="G23" s="5"/>
      <c r="H23" s="5"/>
      <c r="I23" s="6"/>
      <c r="J23" s="5">
        <f t="shared" si="1"/>
        <v>0</v>
      </c>
    </row>
    <row r="24" spans="1:10" x14ac:dyDescent="0.45">
      <c r="A24" s="5">
        <f t="shared" si="0"/>
        <v>23</v>
      </c>
      <c r="B24" s="5"/>
      <c r="C24" s="5"/>
      <c r="D24" s="5"/>
      <c r="E24" s="5"/>
      <c r="F24" s="5"/>
      <c r="G24" s="5"/>
      <c r="H24" s="5"/>
      <c r="I24" s="6"/>
      <c r="J24" s="5">
        <f t="shared" si="1"/>
        <v>0</v>
      </c>
    </row>
    <row r="25" spans="1:10" x14ac:dyDescent="0.45">
      <c r="A25" s="5">
        <f t="shared" si="0"/>
        <v>24</v>
      </c>
      <c r="B25" s="5"/>
      <c r="C25" s="5"/>
      <c r="D25" s="5"/>
      <c r="E25" s="5"/>
      <c r="F25" s="5"/>
      <c r="G25" s="5"/>
      <c r="H25" s="5"/>
      <c r="I25" s="6"/>
      <c r="J25" s="5">
        <f t="shared" si="1"/>
        <v>0</v>
      </c>
    </row>
    <row r="26" spans="1:10" x14ac:dyDescent="0.45">
      <c r="A26" s="5">
        <f t="shared" si="0"/>
        <v>25</v>
      </c>
      <c r="B26" s="5"/>
      <c r="C26" s="5"/>
      <c r="D26" s="5"/>
      <c r="E26" s="5"/>
      <c r="F26" s="5"/>
      <c r="G26" s="5"/>
      <c r="H26" s="5"/>
      <c r="I26" s="6"/>
      <c r="J26" s="5">
        <f t="shared" si="1"/>
        <v>0</v>
      </c>
    </row>
    <row r="27" spans="1:10" x14ac:dyDescent="0.45">
      <c r="A27" s="5">
        <f t="shared" si="0"/>
        <v>26</v>
      </c>
      <c r="B27" s="5"/>
      <c r="C27" s="5"/>
      <c r="D27" s="5"/>
      <c r="E27" s="5"/>
      <c r="F27" s="5"/>
      <c r="G27" s="5"/>
      <c r="H27" s="5"/>
      <c r="I27" s="6"/>
      <c r="J27" s="5">
        <f t="shared" si="1"/>
        <v>0</v>
      </c>
    </row>
    <row r="28" spans="1:10" x14ac:dyDescent="0.45">
      <c r="A28" s="5">
        <f t="shared" si="0"/>
        <v>27</v>
      </c>
      <c r="B28" s="5"/>
      <c r="C28" s="5"/>
      <c r="D28" s="5"/>
      <c r="E28" s="5"/>
      <c r="F28" s="5"/>
      <c r="G28" s="5"/>
      <c r="H28" s="5"/>
      <c r="I28" s="6"/>
      <c r="J28" s="5">
        <f t="shared" si="1"/>
        <v>0</v>
      </c>
    </row>
    <row r="29" spans="1:10" x14ac:dyDescent="0.45">
      <c r="A29" s="5">
        <f t="shared" si="0"/>
        <v>28</v>
      </c>
      <c r="B29" s="5"/>
      <c r="C29" s="5"/>
      <c r="D29" s="5"/>
      <c r="E29" s="5"/>
      <c r="F29" s="5"/>
      <c r="G29" s="5"/>
      <c r="H29" s="5"/>
      <c r="I29" s="6"/>
      <c r="J29" s="5">
        <f t="shared" si="1"/>
        <v>0</v>
      </c>
    </row>
    <row r="30" spans="1:10" x14ac:dyDescent="0.45">
      <c r="A30" s="5">
        <f t="shared" si="0"/>
        <v>29</v>
      </c>
      <c r="B30" s="5"/>
      <c r="C30" s="5"/>
      <c r="D30" s="5"/>
      <c r="E30" s="5"/>
      <c r="F30" s="5"/>
      <c r="G30" s="5"/>
      <c r="H30" s="5"/>
      <c r="I30" s="6"/>
      <c r="J30" s="5">
        <f t="shared" si="1"/>
        <v>0</v>
      </c>
    </row>
    <row r="31" spans="1:10" x14ac:dyDescent="0.45">
      <c r="A31" s="5">
        <f t="shared" si="0"/>
        <v>30</v>
      </c>
      <c r="B31" s="5"/>
      <c r="C31" s="5"/>
      <c r="D31" s="5"/>
      <c r="E31" s="5"/>
      <c r="F31" s="5"/>
      <c r="G31" s="5"/>
      <c r="H31" s="5"/>
      <c r="I31" s="6"/>
      <c r="J31" s="5">
        <f t="shared" si="1"/>
        <v>0</v>
      </c>
    </row>
    <row r="32" spans="1:10" x14ac:dyDescent="0.45">
      <c r="A32" s="5">
        <f t="shared" si="0"/>
        <v>31</v>
      </c>
      <c r="B32" s="5"/>
      <c r="C32" s="5"/>
      <c r="D32" s="5"/>
      <c r="E32" s="5"/>
      <c r="F32" s="5"/>
      <c r="G32" s="5"/>
      <c r="H32" s="5"/>
      <c r="I32" s="6"/>
      <c r="J32" s="5">
        <f t="shared" si="1"/>
        <v>0</v>
      </c>
    </row>
    <row r="33" spans="1:10" x14ac:dyDescent="0.45">
      <c r="A33" s="5">
        <f t="shared" si="0"/>
        <v>32</v>
      </c>
      <c r="B33" s="5"/>
      <c r="C33" s="5"/>
      <c r="D33" s="5"/>
      <c r="E33" s="5"/>
      <c r="F33" s="5"/>
      <c r="G33" s="5"/>
      <c r="H33" s="5"/>
      <c r="I33" s="6"/>
      <c r="J33" s="5">
        <f t="shared" si="1"/>
        <v>0</v>
      </c>
    </row>
    <row r="34" spans="1:10" x14ac:dyDescent="0.45">
      <c r="A34" s="5">
        <f t="shared" ref="A34:A65" si="4">ROW(A34)-1</f>
        <v>33</v>
      </c>
      <c r="B34" s="5"/>
      <c r="C34" s="5"/>
      <c r="D34" s="5"/>
      <c r="E34" s="5"/>
      <c r="F34" s="5"/>
      <c r="G34" s="5"/>
      <c r="H34" s="5"/>
      <c r="I34" s="6"/>
      <c r="J34" s="5">
        <f t="shared" ref="J34:J65" si="5">((F34*1.75)+(G34*1.75)+(H34)+(I34*0.5))/5</f>
        <v>0</v>
      </c>
    </row>
    <row r="35" spans="1:10" x14ac:dyDescent="0.45">
      <c r="A35" s="5">
        <f t="shared" si="4"/>
        <v>34</v>
      </c>
      <c r="B35" s="5"/>
      <c r="C35" s="5"/>
      <c r="D35" s="5"/>
      <c r="E35" s="5"/>
      <c r="F35" s="5"/>
      <c r="G35" s="5"/>
      <c r="H35" s="5"/>
      <c r="I35" s="6"/>
      <c r="J35" s="5">
        <f t="shared" si="5"/>
        <v>0</v>
      </c>
    </row>
    <row r="36" spans="1:10" x14ac:dyDescent="0.45">
      <c r="A36" s="5">
        <f t="shared" si="4"/>
        <v>35</v>
      </c>
      <c r="B36" s="5"/>
      <c r="C36" s="5"/>
      <c r="D36" s="5"/>
      <c r="E36" s="5"/>
      <c r="F36" s="5"/>
      <c r="G36" s="5"/>
      <c r="H36" s="5"/>
      <c r="I36" s="6"/>
      <c r="J36" s="5">
        <f t="shared" si="5"/>
        <v>0</v>
      </c>
    </row>
    <row r="37" spans="1:10" x14ac:dyDescent="0.45">
      <c r="A37" s="5">
        <f t="shared" si="4"/>
        <v>36</v>
      </c>
      <c r="B37" s="5"/>
      <c r="C37" s="5"/>
      <c r="D37" s="5"/>
      <c r="E37" s="5"/>
      <c r="F37" s="5"/>
      <c r="G37" s="5"/>
      <c r="H37" s="5"/>
      <c r="I37" s="6"/>
      <c r="J37" s="5">
        <f t="shared" si="5"/>
        <v>0</v>
      </c>
    </row>
    <row r="38" spans="1:10" x14ac:dyDescent="0.45">
      <c r="A38" s="5">
        <f t="shared" si="4"/>
        <v>37</v>
      </c>
      <c r="B38" s="5"/>
      <c r="C38" s="5"/>
      <c r="D38" s="5"/>
      <c r="E38" s="5"/>
      <c r="F38" s="5"/>
      <c r="G38" s="5"/>
      <c r="H38" s="5"/>
      <c r="I38" s="6"/>
      <c r="J38" s="5">
        <f t="shared" si="5"/>
        <v>0</v>
      </c>
    </row>
    <row r="39" spans="1:10" x14ac:dyDescent="0.45">
      <c r="A39" s="5">
        <f t="shared" si="4"/>
        <v>38</v>
      </c>
      <c r="B39" s="5"/>
      <c r="C39" s="5"/>
      <c r="D39" s="5"/>
      <c r="E39" s="5"/>
      <c r="F39" s="5"/>
      <c r="G39" s="5"/>
      <c r="H39" s="5"/>
      <c r="I39" s="6"/>
      <c r="J39" s="5">
        <f t="shared" si="5"/>
        <v>0</v>
      </c>
    </row>
    <row r="40" spans="1:10" x14ac:dyDescent="0.45">
      <c r="A40" s="5">
        <f t="shared" si="4"/>
        <v>39</v>
      </c>
      <c r="B40" s="5"/>
      <c r="C40" s="5"/>
      <c r="D40" s="5"/>
      <c r="E40" s="5"/>
      <c r="F40" s="5"/>
      <c r="G40" s="5"/>
      <c r="H40" s="5"/>
      <c r="I40" s="6"/>
      <c r="J40" s="5">
        <f t="shared" si="5"/>
        <v>0</v>
      </c>
    </row>
    <row r="41" spans="1:10" x14ac:dyDescent="0.45">
      <c r="A41" s="5">
        <f t="shared" si="4"/>
        <v>40</v>
      </c>
      <c r="B41" s="5"/>
      <c r="C41" s="5"/>
      <c r="D41" s="5"/>
      <c r="E41" s="5"/>
      <c r="F41" s="5"/>
      <c r="G41" s="5"/>
      <c r="H41" s="5"/>
      <c r="I41" s="6"/>
      <c r="J41" s="5">
        <f t="shared" si="5"/>
        <v>0</v>
      </c>
    </row>
    <row r="42" spans="1:10" x14ac:dyDescent="0.45">
      <c r="A42" s="5">
        <f t="shared" si="4"/>
        <v>41</v>
      </c>
      <c r="B42" s="5"/>
      <c r="C42" s="5"/>
      <c r="D42" s="5"/>
      <c r="E42" s="5"/>
      <c r="F42" s="5"/>
      <c r="G42" s="5"/>
      <c r="H42" s="5"/>
      <c r="I42" s="6"/>
      <c r="J42" s="5">
        <f t="shared" si="5"/>
        <v>0</v>
      </c>
    </row>
    <row r="43" spans="1:10" x14ac:dyDescent="0.45">
      <c r="A43" s="5">
        <f t="shared" si="4"/>
        <v>42</v>
      </c>
      <c r="B43" s="5"/>
      <c r="C43" s="5"/>
      <c r="D43" s="5"/>
      <c r="E43" s="5"/>
      <c r="F43" s="5"/>
      <c r="G43" s="5"/>
      <c r="H43" s="5"/>
      <c r="I43" s="6"/>
      <c r="J43" s="5">
        <f t="shared" si="5"/>
        <v>0</v>
      </c>
    </row>
    <row r="44" spans="1:10" x14ac:dyDescent="0.45">
      <c r="A44" s="5">
        <f t="shared" si="4"/>
        <v>43</v>
      </c>
      <c r="B44" s="5"/>
      <c r="C44" s="5"/>
      <c r="D44" s="5"/>
      <c r="E44" s="5"/>
      <c r="F44" s="5"/>
      <c r="G44" s="5"/>
      <c r="H44" s="5"/>
      <c r="I44" s="6"/>
      <c r="J44" s="5">
        <f t="shared" si="5"/>
        <v>0</v>
      </c>
    </row>
    <row r="45" spans="1:10" x14ac:dyDescent="0.45">
      <c r="A45" s="5">
        <f t="shared" si="4"/>
        <v>44</v>
      </c>
      <c r="B45" s="5"/>
      <c r="C45" s="5"/>
      <c r="D45" s="5"/>
      <c r="E45" s="5"/>
      <c r="F45" s="5"/>
      <c r="G45" s="5"/>
      <c r="H45" s="5"/>
      <c r="I45" s="6"/>
      <c r="J45" s="5">
        <f t="shared" si="5"/>
        <v>0</v>
      </c>
    </row>
    <row r="46" spans="1:10" x14ac:dyDescent="0.45">
      <c r="A46" s="5">
        <f t="shared" si="4"/>
        <v>45</v>
      </c>
      <c r="B46" s="5"/>
      <c r="C46" s="5"/>
      <c r="D46" s="5"/>
      <c r="E46" s="5"/>
      <c r="F46" s="5"/>
      <c r="G46" s="5"/>
      <c r="H46" s="5"/>
      <c r="I46" s="6"/>
      <c r="J46" s="5">
        <f t="shared" si="5"/>
        <v>0</v>
      </c>
    </row>
    <row r="47" spans="1:10" x14ac:dyDescent="0.45">
      <c r="A47" s="5">
        <f t="shared" si="4"/>
        <v>46</v>
      </c>
      <c r="B47" s="5"/>
      <c r="C47" s="5"/>
      <c r="D47" s="5"/>
      <c r="E47" s="5"/>
      <c r="F47" s="5"/>
      <c r="G47" s="5"/>
      <c r="H47" s="5"/>
      <c r="I47" s="6"/>
      <c r="J47" s="5">
        <f t="shared" si="5"/>
        <v>0</v>
      </c>
    </row>
    <row r="48" spans="1:10" x14ac:dyDescent="0.45">
      <c r="A48" s="5">
        <f t="shared" si="4"/>
        <v>47</v>
      </c>
      <c r="B48" s="5"/>
      <c r="C48" s="5"/>
      <c r="D48" s="5"/>
      <c r="E48" s="5"/>
      <c r="F48" s="5"/>
      <c r="G48" s="5"/>
      <c r="H48" s="5"/>
      <c r="I48" s="6"/>
      <c r="J48" s="5">
        <f t="shared" si="5"/>
        <v>0</v>
      </c>
    </row>
    <row r="49" spans="1:10" x14ac:dyDescent="0.45">
      <c r="A49" s="5">
        <f t="shared" si="4"/>
        <v>48</v>
      </c>
      <c r="B49" s="5"/>
      <c r="C49" s="5"/>
      <c r="D49" s="5"/>
      <c r="E49" s="5"/>
      <c r="F49" s="5"/>
      <c r="G49" s="5"/>
      <c r="H49" s="5"/>
      <c r="I49" s="6"/>
      <c r="J49" s="5">
        <f t="shared" si="5"/>
        <v>0</v>
      </c>
    </row>
    <row r="50" spans="1:10" x14ac:dyDescent="0.45">
      <c r="A50" s="5">
        <f t="shared" si="4"/>
        <v>49</v>
      </c>
      <c r="B50" s="5"/>
      <c r="C50" s="5"/>
      <c r="D50" s="5"/>
      <c r="E50" s="5"/>
      <c r="F50" s="5"/>
      <c r="G50" s="5"/>
      <c r="H50" s="5"/>
      <c r="I50" s="6"/>
      <c r="J50" s="5">
        <f t="shared" si="5"/>
        <v>0</v>
      </c>
    </row>
    <row r="51" spans="1:10" x14ac:dyDescent="0.45">
      <c r="A51" s="5">
        <f t="shared" si="4"/>
        <v>50</v>
      </c>
      <c r="B51" s="5"/>
      <c r="C51" s="5"/>
      <c r="D51" s="5"/>
      <c r="E51" s="5"/>
      <c r="F51" s="5"/>
      <c r="G51" s="5"/>
      <c r="H51" s="5"/>
      <c r="I51" s="6"/>
      <c r="J51" s="5">
        <f t="shared" si="5"/>
        <v>0</v>
      </c>
    </row>
    <row r="52" spans="1:10" x14ac:dyDescent="0.45">
      <c r="A52" s="5">
        <f t="shared" si="4"/>
        <v>51</v>
      </c>
      <c r="B52" s="5"/>
      <c r="C52" s="5"/>
      <c r="D52" s="5"/>
      <c r="E52" s="5"/>
      <c r="F52" s="5"/>
      <c r="G52" s="5"/>
      <c r="H52" s="5"/>
      <c r="I52" s="6"/>
      <c r="J52" s="5">
        <f t="shared" si="5"/>
        <v>0</v>
      </c>
    </row>
    <row r="53" spans="1:10" x14ac:dyDescent="0.45">
      <c r="A53" s="5">
        <f t="shared" si="4"/>
        <v>52</v>
      </c>
      <c r="B53" s="5"/>
      <c r="C53" s="5"/>
      <c r="D53" s="5"/>
      <c r="E53" s="5"/>
      <c r="F53" s="5"/>
      <c r="G53" s="5"/>
      <c r="H53" s="5"/>
      <c r="I53" s="6"/>
      <c r="J53" s="5">
        <f t="shared" si="5"/>
        <v>0</v>
      </c>
    </row>
    <row r="54" spans="1:10" x14ac:dyDescent="0.45">
      <c r="A54" s="5">
        <f t="shared" si="4"/>
        <v>53</v>
      </c>
      <c r="B54" s="5"/>
      <c r="C54" s="5"/>
      <c r="D54" s="5"/>
      <c r="E54" s="5"/>
      <c r="F54" s="5"/>
      <c r="G54" s="5"/>
      <c r="H54" s="5"/>
      <c r="I54" s="6"/>
      <c r="J54" s="5">
        <f t="shared" si="5"/>
        <v>0</v>
      </c>
    </row>
    <row r="55" spans="1:10" x14ac:dyDescent="0.45">
      <c r="A55" s="5">
        <f t="shared" si="4"/>
        <v>54</v>
      </c>
      <c r="B55" s="5"/>
      <c r="C55" s="5"/>
      <c r="D55" s="5"/>
      <c r="E55" s="5"/>
      <c r="F55" s="5"/>
      <c r="G55" s="5"/>
      <c r="H55" s="5"/>
      <c r="I55" s="6"/>
      <c r="J55" s="5">
        <f t="shared" si="5"/>
        <v>0</v>
      </c>
    </row>
    <row r="56" spans="1:10" x14ac:dyDescent="0.45">
      <c r="A56" s="5">
        <f t="shared" si="4"/>
        <v>55</v>
      </c>
      <c r="B56" s="5"/>
      <c r="C56" s="5"/>
      <c r="D56" s="5"/>
      <c r="E56" s="5"/>
      <c r="F56" s="5"/>
      <c r="G56" s="5"/>
      <c r="H56" s="5"/>
      <c r="I56" s="6"/>
      <c r="J56" s="5">
        <f t="shared" si="5"/>
        <v>0</v>
      </c>
    </row>
    <row r="57" spans="1:10" x14ac:dyDescent="0.45">
      <c r="A57" s="5">
        <f t="shared" si="4"/>
        <v>56</v>
      </c>
      <c r="B57" s="5"/>
      <c r="C57" s="5"/>
      <c r="D57" s="5"/>
      <c r="E57" s="5"/>
      <c r="F57" s="5"/>
      <c r="G57" s="5"/>
      <c r="H57" s="5"/>
      <c r="I57" s="6"/>
      <c r="J57" s="5">
        <f t="shared" si="5"/>
        <v>0</v>
      </c>
    </row>
    <row r="58" spans="1:10" x14ac:dyDescent="0.45">
      <c r="A58" s="5">
        <f t="shared" si="4"/>
        <v>57</v>
      </c>
      <c r="B58" s="5"/>
      <c r="C58" s="5"/>
      <c r="D58" s="5"/>
      <c r="E58" s="5"/>
      <c r="F58" s="5"/>
      <c r="G58" s="5"/>
      <c r="H58" s="5"/>
      <c r="I58" s="6"/>
      <c r="J58" s="5">
        <f t="shared" si="5"/>
        <v>0</v>
      </c>
    </row>
    <row r="59" spans="1:10" x14ac:dyDescent="0.45">
      <c r="A59" s="5">
        <f t="shared" si="4"/>
        <v>58</v>
      </c>
      <c r="B59" s="5"/>
      <c r="C59" s="5"/>
      <c r="D59" s="5"/>
      <c r="E59" s="5"/>
      <c r="F59" s="5"/>
      <c r="G59" s="5"/>
      <c r="H59" s="5"/>
      <c r="I59" s="6"/>
      <c r="J59" s="5">
        <f t="shared" si="5"/>
        <v>0</v>
      </c>
    </row>
    <row r="60" spans="1:10" x14ac:dyDescent="0.45">
      <c r="A60" s="5">
        <f t="shared" si="4"/>
        <v>59</v>
      </c>
      <c r="B60" s="5"/>
      <c r="C60" s="5"/>
      <c r="D60" s="5"/>
      <c r="E60" s="5"/>
      <c r="F60" s="5"/>
      <c r="G60" s="5"/>
      <c r="H60" s="5"/>
      <c r="I60" s="6"/>
      <c r="J60" s="5">
        <f t="shared" si="5"/>
        <v>0</v>
      </c>
    </row>
    <row r="61" spans="1:10" x14ac:dyDescent="0.45">
      <c r="A61" s="5">
        <f t="shared" si="4"/>
        <v>60</v>
      </c>
      <c r="B61" s="5"/>
      <c r="C61" s="5"/>
      <c r="D61" s="5"/>
      <c r="E61" s="5"/>
      <c r="F61" s="5"/>
      <c r="G61" s="5"/>
      <c r="H61" s="5"/>
      <c r="I61" s="6"/>
      <c r="J61" s="5">
        <f t="shared" si="5"/>
        <v>0</v>
      </c>
    </row>
    <row r="62" spans="1:10" x14ac:dyDescent="0.45">
      <c r="A62" s="5">
        <f t="shared" si="4"/>
        <v>61</v>
      </c>
      <c r="B62" s="5"/>
      <c r="C62" s="5"/>
      <c r="D62" s="5"/>
      <c r="E62" s="5"/>
      <c r="F62" s="5"/>
      <c r="G62" s="5"/>
      <c r="H62" s="5"/>
      <c r="I62" s="6"/>
      <c r="J62" s="5">
        <f t="shared" si="5"/>
        <v>0</v>
      </c>
    </row>
    <row r="63" spans="1:10" x14ac:dyDescent="0.45">
      <c r="A63" s="5">
        <f t="shared" si="4"/>
        <v>62</v>
      </c>
      <c r="B63" s="5"/>
      <c r="C63" s="5"/>
      <c r="D63" s="5"/>
      <c r="E63" s="5"/>
      <c r="F63" s="5"/>
      <c r="G63" s="5"/>
      <c r="H63" s="5"/>
      <c r="I63" s="6"/>
      <c r="J63" s="5">
        <f t="shared" si="5"/>
        <v>0</v>
      </c>
    </row>
    <row r="64" spans="1:10" x14ac:dyDescent="0.45">
      <c r="A64" s="5">
        <f t="shared" si="4"/>
        <v>63</v>
      </c>
      <c r="B64" s="5"/>
      <c r="C64" s="5"/>
      <c r="D64" s="5"/>
      <c r="E64" s="5"/>
      <c r="F64" s="5"/>
      <c r="G64" s="5"/>
      <c r="H64" s="5"/>
      <c r="I64" s="6"/>
      <c r="J64" s="5">
        <f t="shared" si="5"/>
        <v>0</v>
      </c>
    </row>
    <row r="65" spans="1:10" x14ac:dyDescent="0.45">
      <c r="A65" s="5">
        <f t="shared" si="4"/>
        <v>64</v>
      </c>
      <c r="B65" s="5"/>
      <c r="C65" s="5"/>
      <c r="D65" s="5"/>
      <c r="E65" s="5"/>
      <c r="F65" s="5"/>
      <c r="G65" s="5"/>
      <c r="H65" s="5"/>
      <c r="I65" s="6"/>
      <c r="J65" s="5">
        <f t="shared" si="5"/>
        <v>0</v>
      </c>
    </row>
    <row r="66" spans="1:10" x14ac:dyDescent="0.45">
      <c r="A66" s="5">
        <f t="shared" ref="A66:A97" si="6">ROW(A66)-1</f>
        <v>65</v>
      </c>
      <c r="B66" s="5"/>
      <c r="C66" s="5"/>
      <c r="D66" s="5"/>
      <c r="E66" s="5"/>
      <c r="F66" s="5"/>
      <c r="G66" s="5"/>
      <c r="H66" s="5"/>
      <c r="I66" s="6"/>
      <c r="J66" s="5">
        <f t="shared" ref="J66:J97" si="7">((F66*1.75)+(G66*1.75)+(H66)+(I66*0.5))/5</f>
        <v>0</v>
      </c>
    </row>
    <row r="67" spans="1:10" x14ac:dyDescent="0.45">
      <c r="A67" s="5">
        <f t="shared" si="6"/>
        <v>66</v>
      </c>
      <c r="B67" s="5"/>
      <c r="C67" s="5"/>
      <c r="D67" s="5"/>
      <c r="E67" s="5"/>
      <c r="F67" s="5"/>
      <c r="G67" s="5"/>
      <c r="H67" s="5"/>
      <c r="I67" s="6"/>
      <c r="J67" s="5">
        <f t="shared" si="7"/>
        <v>0</v>
      </c>
    </row>
    <row r="68" spans="1:10" x14ac:dyDescent="0.45">
      <c r="A68" s="5">
        <f t="shared" si="6"/>
        <v>67</v>
      </c>
      <c r="B68" s="5"/>
      <c r="C68" s="5"/>
      <c r="D68" s="5"/>
      <c r="E68" s="5"/>
      <c r="F68" s="5"/>
      <c r="G68" s="5"/>
      <c r="H68" s="5"/>
      <c r="I68" s="6"/>
      <c r="J68" s="5">
        <f t="shared" si="7"/>
        <v>0</v>
      </c>
    </row>
    <row r="69" spans="1:10" x14ac:dyDescent="0.45">
      <c r="A69" s="5">
        <f t="shared" si="6"/>
        <v>68</v>
      </c>
      <c r="B69" s="5"/>
      <c r="C69" s="5"/>
      <c r="D69" s="5"/>
      <c r="E69" s="5"/>
      <c r="F69" s="5"/>
      <c r="G69" s="5"/>
      <c r="H69" s="5"/>
      <c r="I69" s="6"/>
      <c r="J69" s="5">
        <f t="shared" si="7"/>
        <v>0</v>
      </c>
    </row>
    <row r="70" spans="1:10" x14ac:dyDescent="0.45">
      <c r="A70" s="5">
        <f t="shared" si="6"/>
        <v>69</v>
      </c>
      <c r="B70" s="5"/>
      <c r="C70" s="5"/>
      <c r="D70" s="5"/>
      <c r="E70" s="5"/>
      <c r="F70" s="5"/>
      <c r="G70" s="5"/>
      <c r="H70" s="5"/>
      <c r="I70" s="6"/>
      <c r="J70" s="5">
        <f t="shared" si="7"/>
        <v>0</v>
      </c>
    </row>
    <row r="71" spans="1:10" x14ac:dyDescent="0.45">
      <c r="A71" s="5">
        <f t="shared" si="6"/>
        <v>70</v>
      </c>
      <c r="B71" s="5"/>
      <c r="C71" s="5"/>
      <c r="D71" s="5"/>
      <c r="E71" s="5"/>
      <c r="F71" s="5"/>
      <c r="G71" s="5"/>
      <c r="H71" s="5"/>
      <c r="I71" s="6"/>
      <c r="J71" s="5">
        <f t="shared" si="7"/>
        <v>0</v>
      </c>
    </row>
    <row r="72" spans="1:10" x14ac:dyDescent="0.45">
      <c r="A72" s="5">
        <f t="shared" si="6"/>
        <v>71</v>
      </c>
      <c r="B72" s="5"/>
      <c r="C72" s="5"/>
      <c r="D72" s="5"/>
      <c r="E72" s="5"/>
      <c r="F72" s="5"/>
      <c r="G72" s="5"/>
      <c r="H72" s="5"/>
      <c r="I72" s="6"/>
      <c r="J72" s="5">
        <f t="shared" si="7"/>
        <v>0</v>
      </c>
    </row>
    <row r="73" spans="1:10" x14ac:dyDescent="0.45">
      <c r="A73" s="5">
        <f t="shared" si="6"/>
        <v>72</v>
      </c>
      <c r="B73" s="5"/>
      <c r="C73" s="5"/>
      <c r="D73" s="5"/>
      <c r="E73" s="5"/>
      <c r="F73" s="5"/>
      <c r="G73" s="5"/>
      <c r="H73" s="5"/>
      <c r="I73" s="6"/>
      <c r="J73" s="5">
        <f t="shared" si="7"/>
        <v>0</v>
      </c>
    </row>
    <row r="74" spans="1:10" x14ac:dyDescent="0.45">
      <c r="A74" s="5">
        <f t="shared" si="6"/>
        <v>73</v>
      </c>
      <c r="B74" s="5"/>
      <c r="C74" s="5"/>
      <c r="D74" s="5"/>
      <c r="E74" s="5"/>
      <c r="F74" s="5"/>
      <c r="G74" s="5"/>
      <c r="H74" s="5"/>
      <c r="I74" s="6"/>
      <c r="J74" s="5">
        <f t="shared" si="7"/>
        <v>0</v>
      </c>
    </row>
    <row r="75" spans="1:10" x14ac:dyDescent="0.45">
      <c r="A75" s="5">
        <f t="shared" si="6"/>
        <v>74</v>
      </c>
      <c r="B75" s="5"/>
      <c r="C75" s="5"/>
      <c r="D75" s="5"/>
      <c r="E75" s="5"/>
      <c r="F75" s="5"/>
      <c r="G75" s="5"/>
      <c r="H75" s="5"/>
      <c r="I75" s="6"/>
      <c r="J75" s="5">
        <f t="shared" si="7"/>
        <v>0</v>
      </c>
    </row>
    <row r="76" spans="1:10" x14ac:dyDescent="0.45">
      <c r="A76" s="5">
        <f t="shared" si="6"/>
        <v>75</v>
      </c>
      <c r="B76" s="5"/>
      <c r="C76" s="5"/>
      <c r="D76" s="5"/>
      <c r="E76" s="5"/>
      <c r="F76" s="5"/>
      <c r="G76" s="5"/>
      <c r="H76" s="5"/>
      <c r="I76" s="6"/>
      <c r="J76" s="5">
        <f t="shared" si="7"/>
        <v>0</v>
      </c>
    </row>
    <row r="77" spans="1:10" x14ac:dyDescent="0.45">
      <c r="A77" s="5">
        <f t="shared" si="6"/>
        <v>76</v>
      </c>
      <c r="B77" s="5"/>
      <c r="C77" s="5"/>
      <c r="D77" s="5"/>
      <c r="E77" s="5"/>
      <c r="F77" s="5"/>
      <c r="G77" s="5"/>
      <c r="H77" s="5"/>
      <c r="I77" s="6"/>
      <c r="J77" s="5">
        <f t="shared" si="7"/>
        <v>0</v>
      </c>
    </row>
    <row r="78" spans="1:10" x14ac:dyDescent="0.45">
      <c r="A78" s="5">
        <f t="shared" si="6"/>
        <v>77</v>
      </c>
      <c r="B78" s="5"/>
      <c r="C78" s="5"/>
      <c r="D78" s="5"/>
      <c r="E78" s="5"/>
      <c r="F78" s="5"/>
      <c r="G78" s="5"/>
      <c r="H78" s="5"/>
      <c r="I78" s="6"/>
      <c r="J78" s="5">
        <f t="shared" si="7"/>
        <v>0</v>
      </c>
    </row>
    <row r="79" spans="1:10" x14ac:dyDescent="0.45">
      <c r="A79" s="5">
        <f t="shared" si="6"/>
        <v>78</v>
      </c>
      <c r="B79" s="5"/>
      <c r="C79" s="5"/>
      <c r="D79" s="5"/>
      <c r="E79" s="5"/>
      <c r="F79" s="5"/>
      <c r="G79" s="5"/>
      <c r="H79" s="5"/>
      <c r="I79" s="6"/>
      <c r="J79" s="5">
        <f t="shared" si="7"/>
        <v>0</v>
      </c>
    </row>
    <row r="80" spans="1:10" x14ac:dyDescent="0.45">
      <c r="A80" s="5">
        <f t="shared" si="6"/>
        <v>79</v>
      </c>
      <c r="B80" s="5"/>
      <c r="C80" s="5"/>
      <c r="D80" s="5"/>
      <c r="E80" s="5"/>
      <c r="F80" s="5"/>
      <c r="G80" s="5"/>
      <c r="H80" s="5"/>
      <c r="I80" s="6"/>
      <c r="J80" s="5">
        <f t="shared" si="7"/>
        <v>0</v>
      </c>
    </row>
    <row r="81" spans="1:10" x14ac:dyDescent="0.45">
      <c r="A81" s="5">
        <f t="shared" si="6"/>
        <v>80</v>
      </c>
      <c r="B81" s="5"/>
      <c r="C81" s="5"/>
      <c r="D81" s="5"/>
      <c r="E81" s="5"/>
      <c r="F81" s="5"/>
      <c r="G81" s="5"/>
      <c r="H81" s="5"/>
      <c r="I81" s="6"/>
      <c r="J81" s="5">
        <f t="shared" si="7"/>
        <v>0</v>
      </c>
    </row>
    <row r="82" spans="1:10" x14ac:dyDescent="0.45">
      <c r="A82" s="5">
        <f t="shared" si="6"/>
        <v>81</v>
      </c>
      <c r="B82" s="5"/>
      <c r="C82" s="5"/>
      <c r="D82" s="5"/>
      <c r="E82" s="5"/>
      <c r="F82" s="5"/>
      <c r="G82" s="5"/>
      <c r="H82" s="5"/>
      <c r="I82" s="6"/>
      <c r="J82" s="5">
        <f t="shared" si="7"/>
        <v>0</v>
      </c>
    </row>
    <row r="83" spans="1:10" x14ac:dyDescent="0.45">
      <c r="A83" s="5">
        <f t="shared" si="6"/>
        <v>82</v>
      </c>
      <c r="B83" s="5"/>
      <c r="C83" s="5"/>
      <c r="D83" s="5"/>
      <c r="E83" s="5"/>
      <c r="F83" s="5"/>
      <c r="G83" s="5"/>
      <c r="H83" s="5"/>
      <c r="I83" s="6"/>
      <c r="J83" s="5">
        <f t="shared" si="7"/>
        <v>0</v>
      </c>
    </row>
    <row r="84" spans="1:10" x14ac:dyDescent="0.45">
      <c r="A84" s="5">
        <f t="shared" si="6"/>
        <v>83</v>
      </c>
      <c r="B84" s="5"/>
      <c r="C84" s="5"/>
      <c r="D84" s="5"/>
      <c r="E84" s="5"/>
      <c r="F84" s="5"/>
      <c r="G84" s="5"/>
      <c r="H84" s="5"/>
      <c r="I84" s="6"/>
      <c r="J84" s="5">
        <f t="shared" si="7"/>
        <v>0</v>
      </c>
    </row>
    <row r="85" spans="1:10" x14ac:dyDescent="0.45">
      <c r="A85" s="5">
        <f t="shared" si="6"/>
        <v>84</v>
      </c>
      <c r="B85" s="5"/>
      <c r="C85" s="5"/>
      <c r="D85" s="5"/>
      <c r="E85" s="5"/>
      <c r="F85" s="5"/>
      <c r="G85" s="5"/>
      <c r="H85" s="5"/>
      <c r="I85" s="6"/>
      <c r="J85" s="5">
        <f t="shared" si="7"/>
        <v>0</v>
      </c>
    </row>
    <row r="86" spans="1:10" x14ac:dyDescent="0.45">
      <c r="A86" s="5">
        <f t="shared" si="6"/>
        <v>85</v>
      </c>
      <c r="B86" s="5"/>
      <c r="C86" s="5"/>
      <c r="D86" s="5"/>
      <c r="E86" s="5"/>
      <c r="F86" s="5"/>
      <c r="G86" s="5"/>
      <c r="H86" s="5"/>
      <c r="I86" s="6"/>
      <c r="J86" s="5">
        <f t="shared" si="7"/>
        <v>0</v>
      </c>
    </row>
    <row r="87" spans="1:10" x14ac:dyDescent="0.45">
      <c r="A87" s="5">
        <f t="shared" si="6"/>
        <v>86</v>
      </c>
      <c r="B87" s="5"/>
      <c r="C87" s="5"/>
      <c r="D87" s="5"/>
      <c r="E87" s="5"/>
      <c r="F87" s="5"/>
      <c r="G87" s="5"/>
      <c r="H87" s="5"/>
      <c r="I87" s="6"/>
      <c r="J87" s="5">
        <f t="shared" si="7"/>
        <v>0</v>
      </c>
    </row>
    <row r="88" spans="1:10" x14ac:dyDescent="0.45">
      <c r="A88" s="5">
        <f t="shared" si="6"/>
        <v>87</v>
      </c>
      <c r="B88" s="5"/>
      <c r="C88" s="5"/>
      <c r="D88" s="5"/>
      <c r="E88" s="5"/>
      <c r="F88" s="5"/>
      <c r="G88" s="5"/>
      <c r="H88" s="5"/>
      <c r="I88" s="6"/>
      <c r="J88" s="5">
        <f t="shared" si="7"/>
        <v>0</v>
      </c>
    </row>
    <row r="89" spans="1:10" x14ac:dyDescent="0.45">
      <c r="A89" s="5">
        <f t="shared" si="6"/>
        <v>88</v>
      </c>
      <c r="B89" s="5"/>
      <c r="C89" s="5"/>
      <c r="D89" s="5"/>
      <c r="E89" s="5"/>
      <c r="F89" s="5"/>
      <c r="G89" s="5"/>
      <c r="H89" s="5"/>
      <c r="I89" s="6"/>
      <c r="J89" s="5">
        <f t="shared" si="7"/>
        <v>0</v>
      </c>
    </row>
    <row r="90" spans="1:10" x14ac:dyDescent="0.45">
      <c r="A90" s="5">
        <f t="shared" si="6"/>
        <v>89</v>
      </c>
      <c r="B90" s="5"/>
      <c r="C90" s="5"/>
      <c r="D90" s="5"/>
      <c r="E90" s="5"/>
      <c r="F90" s="5"/>
      <c r="G90" s="5"/>
      <c r="H90" s="5"/>
      <c r="I90" s="6"/>
      <c r="J90" s="5">
        <f t="shared" si="7"/>
        <v>0</v>
      </c>
    </row>
    <row r="91" spans="1:10" x14ac:dyDescent="0.45">
      <c r="A91" s="5">
        <f t="shared" si="6"/>
        <v>90</v>
      </c>
      <c r="B91" s="5"/>
      <c r="C91" s="5"/>
      <c r="D91" s="5"/>
      <c r="E91" s="5"/>
      <c r="F91" s="5"/>
      <c r="G91" s="5"/>
      <c r="H91" s="5"/>
      <c r="I91" s="6"/>
      <c r="J91" s="5">
        <f t="shared" si="7"/>
        <v>0</v>
      </c>
    </row>
    <row r="92" spans="1:10" x14ac:dyDescent="0.45">
      <c r="A92" s="5">
        <f t="shared" si="6"/>
        <v>91</v>
      </c>
      <c r="B92" s="5"/>
      <c r="C92" s="5"/>
      <c r="D92" s="5"/>
      <c r="E92" s="5"/>
      <c r="F92" s="5"/>
      <c r="G92" s="5"/>
      <c r="H92" s="5"/>
      <c r="I92" s="6"/>
      <c r="J92" s="5">
        <f t="shared" si="7"/>
        <v>0</v>
      </c>
    </row>
    <row r="93" spans="1:10" x14ac:dyDescent="0.45">
      <c r="A93" s="5">
        <f t="shared" si="6"/>
        <v>92</v>
      </c>
      <c r="B93" s="5"/>
      <c r="C93" s="5"/>
      <c r="D93" s="5"/>
      <c r="E93" s="5"/>
      <c r="F93" s="5"/>
      <c r="G93" s="5"/>
      <c r="H93" s="5"/>
      <c r="I93" s="6"/>
      <c r="J93" s="5">
        <f t="shared" si="7"/>
        <v>0</v>
      </c>
    </row>
    <row r="94" spans="1:10" x14ac:dyDescent="0.45">
      <c r="A94" s="5">
        <f t="shared" si="6"/>
        <v>93</v>
      </c>
      <c r="B94" s="5"/>
      <c r="C94" s="5"/>
      <c r="D94" s="5"/>
      <c r="E94" s="5"/>
      <c r="F94" s="5"/>
      <c r="G94" s="5"/>
      <c r="H94" s="5"/>
      <c r="I94" s="6"/>
      <c r="J94" s="5">
        <f t="shared" si="7"/>
        <v>0</v>
      </c>
    </row>
    <row r="95" spans="1:10" x14ac:dyDescent="0.45">
      <c r="A95" s="5">
        <f t="shared" si="6"/>
        <v>94</v>
      </c>
      <c r="B95" s="5"/>
      <c r="C95" s="5"/>
      <c r="D95" s="5"/>
      <c r="E95" s="5"/>
      <c r="F95" s="5"/>
      <c r="G95" s="5"/>
      <c r="H95" s="5"/>
      <c r="I95" s="6"/>
      <c r="J95" s="5">
        <f t="shared" si="7"/>
        <v>0</v>
      </c>
    </row>
    <row r="96" spans="1:10" x14ac:dyDescent="0.45">
      <c r="A96" s="5">
        <f t="shared" si="6"/>
        <v>95</v>
      </c>
      <c r="B96" s="5"/>
      <c r="C96" s="5"/>
      <c r="D96" s="5"/>
      <c r="E96" s="5"/>
      <c r="F96" s="5"/>
      <c r="G96" s="5"/>
      <c r="H96" s="5"/>
      <c r="I96" s="6"/>
      <c r="J96" s="5">
        <f t="shared" si="7"/>
        <v>0</v>
      </c>
    </row>
    <row r="97" spans="1:10" x14ac:dyDescent="0.45">
      <c r="A97" s="5">
        <f t="shared" si="6"/>
        <v>96</v>
      </c>
      <c r="B97" s="5"/>
      <c r="C97" s="5"/>
      <c r="D97" s="5"/>
      <c r="E97" s="5"/>
      <c r="F97" s="5"/>
      <c r="G97" s="5"/>
      <c r="H97" s="5"/>
      <c r="I97" s="6"/>
      <c r="J97" s="5">
        <f t="shared" si="7"/>
        <v>0</v>
      </c>
    </row>
    <row r="98" spans="1:10" x14ac:dyDescent="0.45">
      <c r="A98" s="5">
        <f t="shared" ref="A98:A129" si="8">ROW(A98)-1</f>
        <v>97</v>
      </c>
      <c r="B98" s="5"/>
      <c r="C98" s="5"/>
      <c r="D98" s="5"/>
      <c r="E98" s="5"/>
      <c r="F98" s="5"/>
      <c r="G98" s="5"/>
      <c r="H98" s="5"/>
      <c r="I98" s="6"/>
      <c r="J98" s="5">
        <f t="shared" ref="J98:J129" si="9">((F98*1.75)+(G98*1.75)+(H98)+(I98*0.5))/5</f>
        <v>0</v>
      </c>
    </row>
    <row r="99" spans="1:10" x14ac:dyDescent="0.45">
      <c r="A99" s="5">
        <f t="shared" si="8"/>
        <v>98</v>
      </c>
      <c r="B99" s="5"/>
      <c r="C99" s="5"/>
      <c r="D99" s="5"/>
      <c r="E99" s="5"/>
      <c r="F99" s="5"/>
      <c r="G99" s="5"/>
      <c r="H99" s="5"/>
      <c r="I99" s="6"/>
      <c r="J99" s="5">
        <f t="shared" si="9"/>
        <v>0</v>
      </c>
    </row>
    <row r="100" spans="1:10" x14ac:dyDescent="0.45">
      <c r="A100" s="5">
        <f t="shared" si="8"/>
        <v>99</v>
      </c>
      <c r="B100" s="5"/>
      <c r="C100" s="5"/>
      <c r="D100" s="5"/>
      <c r="E100" s="5"/>
      <c r="F100" s="5"/>
      <c r="G100" s="5"/>
      <c r="H100" s="5"/>
      <c r="I100" s="6"/>
      <c r="J100" s="5">
        <f t="shared" si="9"/>
        <v>0</v>
      </c>
    </row>
    <row r="101" spans="1:10" x14ac:dyDescent="0.45">
      <c r="A101" s="5">
        <f t="shared" si="8"/>
        <v>100</v>
      </c>
      <c r="B101" s="5"/>
      <c r="C101" s="5"/>
      <c r="D101" s="5"/>
      <c r="E101" s="5"/>
      <c r="F101" s="5"/>
      <c r="G101" s="5"/>
      <c r="H101" s="5"/>
      <c r="I101" s="6"/>
      <c r="J101" s="5">
        <f t="shared" si="9"/>
        <v>0</v>
      </c>
    </row>
    <row r="102" spans="1:10" x14ac:dyDescent="0.45">
      <c r="A102" s="5">
        <f t="shared" si="8"/>
        <v>101</v>
      </c>
      <c r="B102" s="5"/>
      <c r="C102" s="5"/>
      <c r="D102" s="5"/>
      <c r="E102" s="5"/>
      <c r="F102" s="5"/>
      <c r="G102" s="5"/>
      <c r="H102" s="5"/>
      <c r="I102" s="6"/>
      <c r="J102" s="5">
        <f t="shared" si="9"/>
        <v>0</v>
      </c>
    </row>
    <row r="103" spans="1:10" x14ac:dyDescent="0.45">
      <c r="A103" s="5">
        <f t="shared" si="8"/>
        <v>102</v>
      </c>
      <c r="B103" s="5"/>
      <c r="C103" s="5"/>
      <c r="D103" s="5"/>
      <c r="E103" s="5"/>
      <c r="F103" s="5"/>
      <c r="G103" s="5"/>
      <c r="H103" s="5"/>
      <c r="I103" s="6"/>
      <c r="J103" s="5">
        <f t="shared" si="9"/>
        <v>0</v>
      </c>
    </row>
    <row r="104" spans="1:10" x14ac:dyDescent="0.45">
      <c r="A104" s="5">
        <f t="shared" si="8"/>
        <v>103</v>
      </c>
      <c r="B104" s="5"/>
      <c r="C104" s="5"/>
      <c r="D104" s="5"/>
      <c r="E104" s="5"/>
      <c r="F104" s="5"/>
      <c r="G104" s="5"/>
      <c r="H104" s="5"/>
      <c r="I104" s="6"/>
      <c r="J104" s="5">
        <f t="shared" si="9"/>
        <v>0</v>
      </c>
    </row>
    <row r="105" spans="1:10" x14ac:dyDescent="0.45">
      <c r="A105" s="5">
        <f t="shared" si="8"/>
        <v>104</v>
      </c>
      <c r="B105" s="5"/>
      <c r="C105" s="5"/>
      <c r="D105" s="5"/>
      <c r="E105" s="5"/>
      <c r="F105" s="5"/>
      <c r="G105" s="5"/>
      <c r="H105" s="5"/>
      <c r="I105" s="6"/>
      <c r="J105" s="5">
        <f t="shared" si="9"/>
        <v>0</v>
      </c>
    </row>
    <row r="106" spans="1:10" x14ac:dyDescent="0.45">
      <c r="A106" s="5">
        <f t="shared" si="8"/>
        <v>105</v>
      </c>
      <c r="B106" s="5"/>
      <c r="C106" s="5"/>
      <c r="D106" s="5"/>
      <c r="E106" s="5"/>
      <c r="F106" s="5"/>
      <c r="G106" s="5"/>
      <c r="H106" s="5"/>
      <c r="I106" s="6"/>
      <c r="J106" s="5">
        <f t="shared" si="9"/>
        <v>0</v>
      </c>
    </row>
    <row r="107" spans="1:10" x14ac:dyDescent="0.45">
      <c r="A107" s="5">
        <f t="shared" si="8"/>
        <v>106</v>
      </c>
      <c r="B107" s="5"/>
      <c r="C107" s="5"/>
      <c r="D107" s="5"/>
      <c r="E107" s="5"/>
      <c r="F107" s="5"/>
      <c r="G107" s="5"/>
      <c r="H107" s="5"/>
      <c r="I107" s="6"/>
      <c r="J107" s="5">
        <f t="shared" si="9"/>
        <v>0</v>
      </c>
    </row>
    <row r="108" spans="1:10" x14ac:dyDescent="0.45">
      <c r="A108" s="5">
        <f t="shared" si="8"/>
        <v>107</v>
      </c>
      <c r="B108" s="5"/>
      <c r="C108" s="5"/>
      <c r="D108" s="5"/>
      <c r="E108" s="5"/>
      <c r="F108" s="5"/>
      <c r="G108" s="5"/>
      <c r="H108" s="5"/>
      <c r="I108" s="6"/>
      <c r="J108" s="5">
        <f t="shared" si="9"/>
        <v>0</v>
      </c>
    </row>
    <row r="109" spans="1:10" x14ac:dyDescent="0.45">
      <c r="A109" s="5">
        <f t="shared" si="8"/>
        <v>108</v>
      </c>
      <c r="B109" s="5"/>
      <c r="C109" s="5"/>
      <c r="D109" s="5"/>
      <c r="E109" s="5"/>
      <c r="F109" s="5"/>
      <c r="G109" s="5"/>
      <c r="H109" s="5"/>
      <c r="I109" s="6"/>
      <c r="J109" s="5">
        <f t="shared" si="9"/>
        <v>0</v>
      </c>
    </row>
    <row r="110" spans="1:10" x14ac:dyDescent="0.45">
      <c r="A110" s="5">
        <f t="shared" si="8"/>
        <v>109</v>
      </c>
      <c r="B110" s="5"/>
      <c r="C110" s="5"/>
      <c r="D110" s="5"/>
      <c r="E110" s="5"/>
      <c r="F110" s="5"/>
      <c r="G110" s="5"/>
      <c r="H110" s="5"/>
      <c r="I110" s="6"/>
      <c r="J110" s="5">
        <f t="shared" si="9"/>
        <v>0</v>
      </c>
    </row>
    <row r="111" spans="1:10" x14ac:dyDescent="0.45">
      <c r="A111" s="5">
        <f t="shared" si="8"/>
        <v>110</v>
      </c>
      <c r="B111" s="5"/>
      <c r="C111" s="5"/>
      <c r="D111" s="5"/>
      <c r="E111" s="5"/>
      <c r="F111" s="5"/>
      <c r="G111" s="5"/>
      <c r="H111" s="5"/>
      <c r="I111" s="6"/>
      <c r="J111" s="5">
        <f t="shared" si="9"/>
        <v>0</v>
      </c>
    </row>
    <row r="112" spans="1:10" x14ac:dyDescent="0.45">
      <c r="A112" s="5">
        <f t="shared" si="8"/>
        <v>111</v>
      </c>
      <c r="B112" s="5"/>
      <c r="C112" s="5"/>
      <c r="D112" s="5"/>
      <c r="E112" s="5"/>
      <c r="F112" s="5"/>
      <c r="G112" s="5"/>
      <c r="H112" s="5"/>
      <c r="I112" s="6"/>
      <c r="J112" s="5">
        <f t="shared" si="9"/>
        <v>0</v>
      </c>
    </row>
    <row r="113" spans="1:10" x14ac:dyDescent="0.45">
      <c r="A113" s="5">
        <f t="shared" si="8"/>
        <v>112</v>
      </c>
      <c r="B113" s="5"/>
      <c r="C113" s="5"/>
      <c r="D113" s="5"/>
      <c r="E113" s="5"/>
      <c r="F113" s="5"/>
      <c r="G113" s="5"/>
      <c r="H113" s="5"/>
      <c r="I113" s="6"/>
      <c r="J113" s="5">
        <f t="shared" si="9"/>
        <v>0</v>
      </c>
    </row>
    <row r="114" spans="1:10" x14ac:dyDescent="0.45">
      <c r="A114" s="5">
        <f t="shared" si="8"/>
        <v>113</v>
      </c>
      <c r="B114" s="5"/>
      <c r="C114" s="5"/>
      <c r="D114" s="5"/>
      <c r="E114" s="5"/>
      <c r="F114" s="5"/>
      <c r="G114" s="5"/>
      <c r="H114" s="5"/>
      <c r="I114" s="6"/>
      <c r="J114" s="5">
        <f t="shared" si="9"/>
        <v>0</v>
      </c>
    </row>
    <row r="115" spans="1:10" x14ac:dyDescent="0.45">
      <c r="A115" s="5">
        <f t="shared" si="8"/>
        <v>114</v>
      </c>
      <c r="B115" s="5"/>
      <c r="C115" s="5"/>
      <c r="D115" s="5"/>
      <c r="E115" s="5"/>
      <c r="F115" s="5"/>
      <c r="G115" s="5"/>
      <c r="H115" s="5"/>
      <c r="I115" s="6"/>
      <c r="J115" s="5">
        <f t="shared" si="9"/>
        <v>0</v>
      </c>
    </row>
    <row r="116" spans="1:10" x14ac:dyDescent="0.45">
      <c r="A116" s="5">
        <f t="shared" si="8"/>
        <v>115</v>
      </c>
      <c r="B116" s="5"/>
      <c r="C116" s="5"/>
      <c r="D116" s="5"/>
      <c r="E116" s="5"/>
      <c r="F116" s="5"/>
      <c r="G116" s="5"/>
      <c r="H116" s="5"/>
      <c r="I116" s="6"/>
      <c r="J116" s="5">
        <f t="shared" si="9"/>
        <v>0</v>
      </c>
    </row>
    <row r="117" spans="1:10" x14ac:dyDescent="0.45">
      <c r="A117" s="5">
        <f t="shared" si="8"/>
        <v>116</v>
      </c>
      <c r="B117" s="5"/>
      <c r="C117" s="5"/>
      <c r="D117" s="5"/>
      <c r="E117" s="5"/>
      <c r="F117" s="5"/>
      <c r="G117" s="5"/>
      <c r="H117" s="5"/>
      <c r="I117" s="6"/>
      <c r="J117" s="5">
        <f t="shared" si="9"/>
        <v>0</v>
      </c>
    </row>
    <row r="118" spans="1:10" x14ac:dyDescent="0.45">
      <c r="A118" s="5">
        <f t="shared" si="8"/>
        <v>117</v>
      </c>
      <c r="B118" s="5"/>
      <c r="C118" s="5"/>
      <c r="D118" s="5"/>
      <c r="E118" s="5"/>
      <c r="F118" s="5"/>
      <c r="G118" s="5"/>
      <c r="H118" s="5"/>
      <c r="I118" s="6"/>
      <c r="J118" s="5">
        <f t="shared" si="9"/>
        <v>0</v>
      </c>
    </row>
    <row r="119" spans="1:10" x14ac:dyDescent="0.45">
      <c r="A119" s="5">
        <f t="shared" si="8"/>
        <v>118</v>
      </c>
      <c r="B119" s="5"/>
      <c r="C119" s="5"/>
      <c r="D119" s="5"/>
      <c r="E119" s="5"/>
      <c r="F119" s="5"/>
      <c r="G119" s="5"/>
      <c r="H119" s="5"/>
      <c r="I119" s="6"/>
      <c r="J119" s="5">
        <f t="shared" si="9"/>
        <v>0</v>
      </c>
    </row>
    <row r="120" spans="1:10" x14ac:dyDescent="0.45">
      <c r="A120" s="5">
        <f t="shared" si="8"/>
        <v>119</v>
      </c>
      <c r="B120" s="5"/>
      <c r="C120" s="5"/>
      <c r="D120" s="5"/>
      <c r="E120" s="5"/>
      <c r="F120" s="5"/>
      <c r="G120" s="5"/>
      <c r="H120" s="5"/>
      <c r="I120" s="6"/>
      <c r="J120" s="5">
        <f t="shared" si="9"/>
        <v>0</v>
      </c>
    </row>
    <row r="121" spans="1:10" x14ac:dyDescent="0.45">
      <c r="A121" s="5">
        <f t="shared" si="8"/>
        <v>120</v>
      </c>
      <c r="B121" s="5"/>
      <c r="C121" s="5"/>
      <c r="D121" s="5"/>
      <c r="E121" s="5"/>
      <c r="F121" s="5"/>
      <c r="G121" s="5"/>
      <c r="H121" s="5"/>
      <c r="I121" s="6"/>
      <c r="J121" s="5">
        <f t="shared" si="9"/>
        <v>0</v>
      </c>
    </row>
    <row r="122" spans="1:10" x14ac:dyDescent="0.45">
      <c r="A122" s="5">
        <f t="shared" si="8"/>
        <v>121</v>
      </c>
      <c r="B122" s="5"/>
      <c r="C122" s="5"/>
      <c r="D122" s="5"/>
      <c r="E122" s="5"/>
      <c r="F122" s="5"/>
      <c r="G122" s="5"/>
      <c r="H122" s="5"/>
      <c r="I122" s="6"/>
      <c r="J122" s="5">
        <f t="shared" si="9"/>
        <v>0</v>
      </c>
    </row>
    <row r="123" spans="1:10" x14ac:dyDescent="0.45">
      <c r="A123" s="5">
        <f t="shared" si="8"/>
        <v>122</v>
      </c>
      <c r="B123" s="5"/>
      <c r="C123" s="5"/>
      <c r="D123" s="5"/>
      <c r="E123" s="5"/>
      <c r="F123" s="5"/>
      <c r="G123" s="5"/>
      <c r="H123" s="5"/>
      <c r="I123" s="6"/>
      <c r="J123" s="5">
        <f t="shared" si="9"/>
        <v>0</v>
      </c>
    </row>
    <row r="124" spans="1:10" x14ac:dyDescent="0.45">
      <c r="A124" s="5">
        <f t="shared" si="8"/>
        <v>123</v>
      </c>
      <c r="B124" s="5"/>
      <c r="C124" s="5"/>
      <c r="D124" s="5"/>
      <c r="E124" s="5"/>
      <c r="F124" s="5"/>
      <c r="G124" s="5"/>
      <c r="H124" s="5"/>
      <c r="I124" s="6"/>
      <c r="J124" s="5">
        <f t="shared" si="9"/>
        <v>0</v>
      </c>
    </row>
    <row r="125" spans="1:10" x14ac:dyDescent="0.45">
      <c r="A125" s="5">
        <f t="shared" si="8"/>
        <v>124</v>
      </c>
      <c r="B125" s="5"/>
      <c r="C125" s="5"/>
      <c r="D125" s="5"/>
      <c r="E125" s="5"/>
      <c r="F125" s="5"/>
      <c r="G125" s="5"/>
      <c r="H125" s="5"/>
      <c r="I125" s="6"/>
      <c r="J125" s="5">
        <f t="shared" si="9"/>
        <v>0</v>
      </c>
    </row>
    <row r="126" spans="1:10" x14ac:dyDescent="0.45">
      <c r="A126" s="5">
        <f t="shared" si="8"/>
        <v>125</v>
      </c>
      <c r="B126" s="5"/>
      <c r="C126" s="5"/>
      <c r="D126" s="5"/>
      <c r="E126" s="5"/>
      <c r="F126" s="5"/>
      <c r="G126" s="5"/>
      <c r="H126" s="5"/>
      <c r="I126" s="6"/>
      <c r="J126" s="5">
        <f t="shared" si="9"/>
        <v>0</v>
      </c>
    </row>
    <row r="127" spans="1:10" x14ac:dyDescent="0.45">
      <c r="A127" s="5">
        <f t="shared" si="8"/>
        <v>126</v>
      </c>
      <c r="B127" s="5"/>
      <c r="C127" s="5"/>
      <c r="D127" s="5"/>
      <c r="E127" s="5"/>
      <c r="F127" s="5"/>
      <c r="G127" s="5"/>
      <c r="H127" s="5"/>
      <c r="I127" s="6"/>
      <c r="J127" s="5">
        <f t="shared" si="9"/>
        <v>0</v>
      </c>
    </row>
    <row r="128" spans="1:10" x14ac:dyDescent="0.45">
      <c r="A128" s="5">
        <f t="shared" si="8"/>
        <v>127</v>
      </c>
      <c r="B128" s="5"/>
      <c r="C128" s="5"/>
      <c r="D128" s="5"/>
      <c r="E128" s="5"/>
      <c r="F128" s="5"/>
      <c r="G128" s="5"/>
      <c r="H128" s="5"/>
      <c r="I128" s="6"/>
      <c r="J128" s="5">
        <f t="shared" si="9"/>
        <v>0</v>
      </c>
    </row>
    <row r="129" spans="1:10" x14ac:dyDescent="0.45">
      <c r="A129" s="5">
        <f t="shared" si="8"/>
        <v>128</v>
      </c>
      <c r="B129" s="5"/>
      <c r="C129" s="5"/>
      <c r="D129" s="5"/>
      <c r="E129" s="5"/>
      <c r="F129" s="5"/>
      <c r="G129" s="5"/>
      <c r="H129" s="5"/>
      <c r="I129" s="6"/>
      <c r="J129" s="5">
        <f t="shared" si="9"/>
        <v>0</v>
      </c>
    </row>
    <row r="130" spans="1:10" x14ac:dyDescent="0.45">
      <c r="A130" s="5">
        <f t="shared" ref="A130:A161" si="10">ROW(A130)-1</f>
        <v>129</v>
      </c>
      <c r="B130" s="5"/>
      <c r="C130" s="5"/>
      <c r="D130" s="5"/>
      <c r="E130" s="5"/>
      <c r="F130" s="5"/>
      <c r="G130" s="5"/>
      <c r="H130" s="5"/>
      <c r="I130" s="6"/>
      <c r="J130" s="5">
        <f t="shared" ref="J130:J161" si="11">((F130*1.75)+(G130*1.75)+(H130)+(I130*0.5))/5</f>
        <v>0</v>
      </c>
    </row>
    <row r="131" spans="1:10" x14ac:dyDescent="0.45">
      <c r="A131" s="5">
        <f t="shared" si="10"/>
        <v>130</v>
      </c>
      <c r="B131" s="5"/>
      <c r="C131" s="5"/>
      <c r="D131" s="5"/>
      <c r="E131" s="5"/>
      <c r="F131" s="5"/>
      <c r="G131" s="5"/>
      <c r="H131" s="5"/>
      <c r="I131" s="6"/>
      <c r="J131" s="5">
        <f t="shared" si="11"/>
        <v>0</v>
      </c>
    </row>
    <row r="132" spans="1:10" x14ac:dyDescent="0.45">
      <c r="A132" s="5">
        <f t="shared" si="10"/>
        <v>131</v>
      </c>
      <c r="B132" s="5"/>
      <c r="C132" s="5"/>
      <c r="D132" s="5"/>
      <c r="E132" s="5"/>
      <c r="F132" s="5"/>
      <c r="G132" s="5"/>
      <c r="H132" s="5"/>
      <c r="I132" s="6"/>
      <c r="J132" s="5">
        <f t="shared" si="11"/>
        <v>0</v>
      </c>
    </row>
    <row r="133" spans="1:10" x14ac:dyDescent="0.45">
      <c r="A133" s="5">
        <f t="shared" si="10"/>
        <v>132</v>
      </c>
      <c r="B133" s="5"/>
      <c r="C133" s="5"/>
      <c r="D133" s="5"/>
      <c r="E133" s="5"/>
      <c r="F133" s="5"/>
      <c r="G133" s="5"/>
      <c r="H133" s="5"/>
      <c r="I133" s="6"/>
      <c r="J133" s="5">
        <f t="shared" si="11"/>
        <v>0</v>
      </c>
    </row>
    <row r="134" spans="1:10" x14ac:dyDescent="0.45">
      <c r="A134" s="5">
        <f t="shared" si="10"/>
        <v>133</v>
      </c>
      <c r="B134" s="5"/>
      <c r="C134" s="5"/>
      <c r="D134" s="5"/>
      <c r="E134" s="5"/>
      <c r="F134" s="5"/>
      <c r="G134" s="5"/>
      <c r="H134" s="5"/>
      <c r="I134" s="6"/>
      <c r="J134" s="5">
        <f t="shared" si="11"/>
        <v>0</v>
      </c>
    </row>
    <row r="135" spans="1:10" x14ac:dyDescent="0.45">
      <c r="A135" s="5">
        <f t="shared" si="10"/>
        <v>134</v>
      </c>
      <c r="B135" s="5"/>
      <c r="C135" s="5"/>
      <c r="D135" s="5"/>
      <c r="E135" s="5"/>
      <c r="F135" s="5"/>
      <c r="G135" s="5"/>
      <c r="H135" s="5"/>
      <c r="I135" s="6"/>
      <c r="J135" s="5">
        <f t="shared" si="11"/>
        <v>0</v>
      </c>
    </row>
    <row r="136" spans="1:10" x14ac:dyDescent="0.45">
      <c r="A136" s="5">
        <f t="shared" si="10"/>
        <v>135</v>
      </c>
      <c r="B136" s="5"/>
      <c r="C136" s="5"/>
      <c r="D136" s="5"/>
      <c r="E136" s="5"/>
      <c r="F136" s="5"/>
      <c r="G136" s="5"/>
      <c r="H136" s="5"/>
      <c r="I136" s="6"/>
      <c r="J136" s="5">
        <f t="shared" si="11"/>
        <v>0</v>
      </c>
    </row>
    <row r="137" spans="1:10" x14ac:dyDescent="0.45">
      <c r="A137" s="5">
        <f t="shared" si="10"/>
        <v>136</v>
      </c>
      <c r="B137" s="5"/>
      <c r="C137" s="5"/>
      <c r="D137" s="5"/>
      <c r="E137" s="5"/>
      <c r="F137" s="5"/>
      <c r="G137" s="5"/>
      <c r="H137" s="5"/>
      <c r="I137" s="6"/>
      <c r="J137" s="5">
        <f t="shared" si="11"/>
        <v>0</v>
      </c>
    </row>
    <row r="138" spans="1:10" x14ac:dyDescent="0.45">
      <c r="A138" s="5">
        <f t="shared" si="10"/>
        <v>137</v>
      </c>
      <c r="B138" s="5"/>
      <c r="C138" s="5"/>
      <c r="D138" s="5"/>
      <c r="E138" s="5"/>
      <c r="F138" s="5"/>
      <c r="G138" s="5"/>
      <c r="H138" s="5"/>
      <c r="I138" s="6"/>
      <c r="J138" s="5">
        <f t="shared" si="11"/>
        <v>0</v>
      </c>
    </row>
    <row r="139" spans="1:10" x14ac:dyDescent="0.45">
      <c r="A139" s="5">
        <f t="shared" si="10"/>
        <v>138</v>
      </c>
      <c r="B139" s="5"/>
      <c r="C139" s="5"/>
      <c r="D139" s="5"/>
      <c r="E139" s="5"/>
      <c r="F139" s="5"/>
      <c r="G139" s="5"/>
      <c r="H139" s="5"/>
      <c r="I139" s="6"/>
      <c r="J139" s="5">
        <f t="shared" si="11"/>
        <v>0</v>
      </c>
    </row>
    <row r="140" spans="1:10" x14ac:dyDescent="0.45">
      <c r="A140" s="5">
        <f t="shared" si="10"/>
        <v>139</v>
      </c>
      <c r="B140" s="5"/>
      <c r="C140" s="5"/>
      <c r="D140" s="5"/>
      <c r="E140" s="5"/>
      <c r="F140" s="5"/>
      <c r="G140" s="5"/>
      <c r="H140" s="5"/>
      <c r="I140" s="6"/>
      <c r="J140" s="5">
        <f t="shared" si="11"/>
        <v>0</v>
      </c>
    </row>
    <row r="141" spans="1:10" x14ac:dyDescent="0.45">
      <c r="A141" s="5">
        <f t="shared" si="10"/>
        <v>140</v>
      </c>
      <c r="B141" s="5"/>
      <c r="C141" s="5"/>
      <c r="D141" s="5"/>
      <c r="E141" s="5"/>
      <c r="F141" s="5"/>
      <c r="G141" s="5"/>
      <c r="H141" s="5"/>
      <c r="I141" s="6"/>
      <c r="J141" s="5">
        <f t="shared" si="11"/>
        <v>0</v>
      </c>
    </row>
    <row r="142" spans="1:10" x14ac:dyDescent="0.45">
      <c r="A142" s="5">
        <f t="shared" si="10"/>
        <v>141</v>
      </c>
      <c r="B142" s="5"/>
      <c r="C142" s="5"/>
      <c r="D142" s="5"/>
      <c r="E142" s="5"/>
      <c r="F142" s="5"/>
      <c r="G142" s="5"/>
      <c r="H142" s="5"/>
      <c r="I142" s="6"/>
      <c r="J142" s="5">
        <f t="shared" si="11"/>
        <v>0</v>
      </c>
    </row>
    <row r="143" spans="1:10" x14ac:dyDescent="0.45">
      <c r="A143" s="5">
        <f t="shared" si="10"/>
        <v>142</v>
      </c>
      <c r="B143" s="5"/>
      <c r="C143" s="5"/>
      <c r="D143" s="5"/>
      <c r="E143" s="5"/>
      <c r="F143" s="5"/>
      <c r="G143" s="5"/>
      <c r="H143" s="5"/>
      <c r="I143" s="6"/>
      <c r="J143" s="5">
        <f t="shared" si="11"/>
        <v>0</v>
      </c>
    </row>
    <row r="144" spans="1:10" x14ac:dyDescent="0.45">
      <c r="A144" s="5">
        <f t="shared" si="10"/>
        <v>143</v>
      </c>
      <c r="B144" s="5"/>
      <c r="C144" s="5"/>
      <c r="D144" s="5"/>
      <c r="E144" s="5"/>
      <c r="F144" s="5"/>
      <c r="G144" s="5"/>
      <c r="H144" s="5"/>
      <c r="I144" s="6"/>
      <c r="J144" s="5">
        <f t="shared" si="11"/>
        <v>0</v>
      </c>
    </row>
    <row r="145" spans="1:10" x14ac:dyDescent="0.45">
      <c r="A145" s="5">
        <f t="shared" si="10"/>
        <v>144</v>
      </c>
      <c r="B145" s="5"/>
      <c r="C145" s="5"/>
      <c r="D145" s="5"/>
      <c r="E145" s="5"/>
      <c r="F145" s="5"/>
      <c r="G145" s="5"/>
      <c r="H145" s="5"/>
      <c r="I145" s="6"/>
      <c r="J145" s="5">
        <f t="shared" si="11"/>
        <v>0</v>
      </c>
    </row>
    <row r="146" spans="1:10" x14ac:dyDescent="0.45">
      <c r="A146" s="5">
        <f t="shared" si="10"/>
        <v>145</v>
      </c>
      <c r="B146" s="5"/>
      <c r="C146" s="5"/>
      <c r="D146" s="5"/>
      <c r="E146" s="5"/>
      <c r="F146" s="5"/>
      <c r="G146" s="5"/>
      <c r="H146" s="5"/>
      <c r="I146" s="6"/>
      <c r="J146" s="5">
        <f t="shared" si="11"/>
        <v>0</v>
      </c>
    </row>
    <row r="147" spans="1:10" x14ac:dyDescent="0.45">
      <c r="A147" s="5">
        <f t="shared" si="10"/>
        <v>146</v>
      </c>
      <c r="B147" s="5"/>
      <c r="C147" s="5"/>
      <c r="D147" s="5"/>
      <c r="E147" s="5"/>
      <c r="F147" s="5"/>
      <c r="G147" s="5"/>
      <c r="H147" s="5"/>
      <c r="I147" s="6"/>
      <c r="J147" s="5">
        <f t="shared" si="11"/>
        <v>0</v>
      </c>
    </row>
    <row r="148" spans="1:10" x14ac:dyDescent="0.45">
      <c r="A148" s="5">
        <f t="shared" si="10"/>
        <v>147</v>
      </c>
      <c r="B148" s="5"/>
      <c r="C148" s="5"/>
      <c r="D148" s="5"/>
      <c r="E148" s="5"/>
      <c r="F148" s="5"/>
      <c r="G148" s="5"/>
      <c r="H148" s="5"/>
      <c r="I148" s="6"/>
      <c r="J148" s="5">
        <f t="shared" si="11"/>
        <v>0</v>
      </c>
    </row>
    <row r="149" spans="1:10" x14ac:dyDescent="0.45">
      <c r="A149" s="5">
        <f t="shared" si="10"/>
        <v>148</v>
      </c>
      <c r="B149" s="5"/>
      <c r="C149" s="5"/>
      <c r="D149" s="5"/>
      <c r="E149" s="5"/>
      <c r="F149" s="5"/>
      <c r="G149" s="5"/>
      <c r="H149" s="5"/>
      <c r="I149" s="6"/>
      <c r="J149" s="5">
        <f t="shared" si="11"/>
        <v>0</v>
      </c>
    </row>
    <row r="150" spans="1:10" x14ac:dyDescent="0.45">
      <c r="A150" s="5">
        <f t="shared" si="10"/>
        <v>149</v>
      </c>
      <c r="B150" s="5"/>
      <c r="C150" s="5"/>
      <c r="D150" s="5"/>
      <c r="E150" s="5"/>
      <c r="F150" s="5"/>
      <c r="G150" s="5"/>
      <c r="H150" s="5"/>
      <c r="I150" s="6"/>
      <c r="J150" s="5">
        <f t="shared" si="11"/>
        <v>0</v>
      </c>
    </row>
    <row r="151" spans="1:10" x14ac:dyDescent="0.45">
      <c r="A151" s="5">
        <f t="shared" si="10"/>
        <v>150</v>
      </c>
      <c r="B151" s="5"/>
      <c r="C151" s="5"/>
      <c r="D151" s="5"/>
      <c r="E151" s="5"/>
      <c r="F151" s="5"/>
      <c r="G151" s="5"/>
      <c r="H151" s="5"/>
      <c r="I151" s="6"/>
      <c r="J151" s="5">
        <f t="shared" si="11"/>
        <v>0</v>
      </c>
    </row>
    <row r="152" spans="1:10" x14ac:dyDescent="0.45">
      <c r="A152" s="5">
        <f t="shared" si="10"/>
        <v>151</v>
      </c>
      <c r="B152" s="5"/>
      <c r="C152" s="5"/>
      <c r="D152" s="5"/>
      <c r="E152" s="5"/>
      <c r="F152" s="5"/>
      <c r="G152" s="5"/>
      <c r="H152" s="5"/>
      <c r="I152" s="6"/>
      <c r="J152" s="5">
        <f t="shared" si="11"/>
        <v>0</v>
      </c>
    </row>
    <row r="153" spans="1:10" x14ac:dyDescent="0.45">
      <c r="A153" s="5">
        <f t="shared" si="10"/>
        <v>152</v>
      </c>
      <c r="B153" s="5"/>
      <c r="C153" s="5"/>
      <c r="D153" s="5"/>
      <c r="E153" s="5"/>
      <c r="F153" s="5"/>
      <c r="G153" s="5"/>
      <c r="H153" s="5"/>
      <c r="I153" s="6"/>
      <c r="J153" s="5">
        <f t="shared" si="11"/>
        <v>0</v>
      </c>
    </row>
    <row r="154" spans="1:10" x14ac:dyDescent="0.45">
      <c r="A154" s="5">
        <f t="shared" si="10"/>
        <v>153</v>
      </c>
      <c r="B154" s="5"/>
      <c r="C154" s="5"/>
      <c r="D154" s="5"/>
      <c r="E154" s="5"/>
      <c r="F154" s="5"/>
      <c r="G154" s="5"/>
      <c r="H154" s="5"/>
      <c r="I154" s="6"/>
      <c r="J154" s="5">
        <f t="shared" si="11"/>
        <v>0</v>
      </c>
    </row>
    <row r="155" spans="1:10" x14ac:dyDescent="0.45">
      <c r="A155" s="5">
        <f t="shared" si="10"/>
        <v>154</v>
      </c>
      <c r="B155" s="5"/>
      <c r="C155" s="5"/>
      <c r="D155" s="5"/>
      <c r="E155" s="5"/>
      <c r="F155" s="5"/>
      <c r="G155" s="5"/>
      <c r="H155" s="5"/>
      <c r="I155" s="6"/>
      <c r="J155" s="5">
        <f t="shared" si="11"/>
        <v>0</v>
      </c>
    </row>
    <row r="156" spans="1:10" x14ac:dyDescent="0.45">
      <c r="A156" s="5">
        <f t="shared" si="10"/>
        <v>155</v>
      </c>
      <c r="B156" s="5"/>
      <c r="C156" s="5"/>
      <c r="D156" s="5"/>
      <c r="E156" s="5"/>
      <c r="F156" s="5"/>
      <c r="G156" s="5"/>
      <c r="H156" s="5"/>
      <c r="I156" s="6"/>
      <c r="J156" s="5">
        <f t="shared" si="11"/>
        <v>0</v>
      </c>
    </row>
    <row r="157" spans="1:10" x14ac:dyDescent="0.45">
      <c r="A157" s="5">
        <f t="shared" si="10"/>
        <v>156</v>
      </c>
      <c r="B157" s="5"/>
      <c r="C157" s="5"/>
      <c r="D157" s="5"/>
      <c r="E157" s="5"/>
      <c r="F157" s="5"/>
      <c r="G157" s="5"/>
      <c r="H157" s="5"/>
      <c r="I157" s="6"/>
      <c r="J157" s="5">
        <f t="shared" si="11"/>
        <v>0</v>
      </c>
    </row>
    <row r="158" spans="1:10" x14ac:dyDescent="0.45">
      <c r="A158" s="5">
        <f t="shared" si="10"/>
        <v>157</v>
      </c>
      <c r="B158" s="5"/>
      <c r="C158" s="5"/>
      <c r="D158" s="5"/>
      <c r="E158" s="5"/>
      <c r="F158" s="5"/>
      <c r="G158" s="5"/>
      <c r="H158" s="5"/>
      <c r="I158" s="6"/>
      <c r="J158" s="5">
        <f t="shared" si="11"/>
        <v>0</v>
      </c>
    </row>
    <row r="159" spans="1:10" x14ac:dyDescent="0.45">
      <c r="A159" s="5">
        <f t="shared" si="10"/>
        <v>158</v>
      </c>
      <c r="B159" s="5"/>
      <c r="C159" s="5"/>
      <c r="D159" s="5"/>
      <c r="E159" s="5"/>
      <c r="F159" s="5"/>
      <c r="G159" s="5"/>
      <c r="H159" s="5"/>
      <c r="I159" s="6"/>
      <c r="J159" s="5">
        <f t="shared" si="11"/>
        <v>0</v>
      </c>
    </row>
    <row r="160" spans="1:10" x14ac:dyDescent="0.45">
      <c r="A160" s="5">
        <f t="shared" si="10"/>
        <v>159</v>
      </c>
      <c r="B160" s="5"/>
      <c r="C160" s="5"/>
      <c r="D160" s="5"/>
      <c r="E160" s="5"/>
      <c r="F160" s="5"/>
      <c r="G160" s="5"/>
      <c r="H160" s="5"/>
      <c r="I160" s="6"/>
      <c r="J160" s="5">
        <f t="shared" si="11"/>
        <v>0</v>
      </c>
    </row>
    <row r="161" spans="1:10" x14ac:dyDescent="0.45">
      <c r="A161" s="5">
        <f t="shared" si="10"/>
        <v>160</v>
      </c>
      <c r="B161" s="5"/>
      <c r="C161" s="5"/>
      <c r="D161" s="5"/>
      <c r="E161" s="5"/>
      <c r="F161" s="5"/>
      <c r="G161" s="5"/>
      <c r="H161" s="5"/>
      <c r="I161" s="6"/>
      <c r="J161" s="5">
        <f t="shared" si="11"/>
        <v>0</v>
      </c>
    </row>
    <row r="162" spans="1:10" x14ac:dyDescent="0.45">
      <c r="A162" s="5">
        <f t="shared" ref="A162:A184" si="12">ROW(A162)-1</f>
        <v>161</v>
      </c>
      <c r="B162" s="5"/>
      <c r="C162" s="5"/>
      <c r="D162" s="5"/>
      <c r="E162" s="5"/>
      <c r="F162" s="5"/>
      <c r="G162" s="5"/>
      <c r="H162" s="5"/>
      <c r="I162" s="6"/>
      <c r="J162" s="5">
        <f t="shared" ref="J162:J184" si="13">((F162*1.75)+(G162*1.75)+(H162)+(I162*0.5))/5</f>
        <v>0</v>
      </c>
    </row>
    <row r="163" spans="1:10" x14ac:dyDescent="0.45">
      <c r="A163" s="5">
        <f t="shared" si="12"/>
        <v>162</v>
      </c>
      <c r="B163" s="5"/>
      <c r="C163" s="5"/>
      <c r="D163" s="5"/>
      <c r="E163" s="5"/>
      <c r="F163" s="5"/>
      <c r="G163" s="5"/>
      <c r="H163" s="5"/>
      <c r="I163" s="6"/>
      <c r="J163" s="5">
        <f t="shared" si="13"/>
        <v>0</v>
      </c>
    </row>
    <row r="164" spans="1:10" x14ac:dyDescent="0.45">
      <c r="A164" s="5">
        <f t="shared" si="12"/>
        <v>163</v>
      </c>
      <c r="B164" s="5"/>
      <c r="C164" s="5"/>
      <c r="D164" s="5"/>
      <c r="E164" s="5"/>
      <c r="F164" s="5"/>
      <c r="G164" s="5"/>
      <c r="H164" s="5"/>
      <c r="I164" s="6"/>
      <c r="J164" s="5">
        <f t="shared" si="13"/>
        <v>0</v>
      </c>
    </row>
    <row r="165" spans="1:10" x14ac:dyDescent="0.45">
      <c r="A165" s="5">
        <f t="shared" si="12"/>
        <v>164</v>
      </c>
      <c r="B165" s="5"/>
      <c r="C165" s="5"/>
      <c r="D165" s="5"/>
      <c r="E165" s="5"/>
      <c r="F165" s="5"/>
      <c r="G165" s="5"/>
      <c r="H165" s="5"/>
      <c r="I165" s="6"/>
      <c r="J165" s="5">
        <f t="shared" si="13"/>
        <v>0</v>
      </c>
    </row>
    <row r="166" spans="1:10" x14ac:dyDescent="0.45">
      <c r="A166" s="5">
        <f t="shared" si="12"/>
        <v>165</v>
      </c>
      <c r="B166" s="5"/>
      <c r="C166" s="5"/>
      <c r="D166" s="5"/>
      <c r="E166" s="5"/>
      <c r="F166" s="5"/>
      <c r="G166" s="5"/>
      <c r="H166" s="5"/>
      <c r="I166" s="6"/>
      <c r="J166" s="5">
        <f t="shared" si="13"/>
        <v>0</v>
      </c>
    </row>
    <row r="167" spans="1:10" x14ac:dyDescent="0.45">
      <c r="A167" s="5">
        <f t="shared" si="12"/>
        <v>166</v>
      </c>
      <c r="B167" s="5"/>
      <c r="C167" s="5"/>
      <c r="D167" s="5"/>
      <c r="E167" s="5"/>
      <c r="F167" s="5"/>
      <c r="G167" s="5"/>
      <c r="H167" s="5"/>
      <c r="I167" s="6"/>
      <c r="J167" s="5">
        <f t="shared" si="13"/>
        <v>0</v>
      </c>
    </row>
    <row r="168" spans="1:10" x14ac:dyDescent="0.45">
      <c r="A168" s="5">
        <f t="shared" si="12"/>
        <v>167</v>
      </c>
      <c r="B168" s="5"/>
      <c r="C168" s="5"/>
      <c r="D168" s="5"/>
      <c r="E168" s="5"/>
      <c r="F168" s="5"/>
      <c r="G168" s="5"/>
      <c r="H168" s="5"/>
      <c r="I168" s="6"/>
      <c r="J168" s="5">
        <f t="shared" si="13"/>
        <v>0</v>
      </c>
    </row>
    <row r="169" spans="1:10" x14ac:dyDescent="0.45">
      <c r="A169" s="5">
        <f t="shared" si="12"/>
        <v>168</v>
      </c>
      <c r="B169" s="5"/>
      <c r="C169" s="5"/>
      <c r="D169" s="5"/>
      <c r="E169" s="5"/>
      <c r="F169" s="5"/>
      <c r="G169" s="5"/>
      <c r="H169" s="5"/>
      <c r="I169" s="6"/>
      <c r="J169" s="5">
        <f t="shared" si="13"/>
        <v>0</v>
      </c>
    </row>
    <row r="170" spans="1:10" x14ac:dyDescent="0.45">
      <c r="A170" s="5">
        <f t="shared" si="12"/>
        <v>169</v>
      </c>
      <c r="B170" s="5"/>
      <c r="C170" s="5"/>
      <c r="D170" s="5"/>
      <c r="E170" s="5"/>
      <c r="F170" s="5"/>
      <c r="G170" s="5"/>
      <c r="H170" s="5"/>
      <c r="I170" s="6"/>
      <c r="J170" s="5">
        <f t="shared" si="13"/>
        <v>0</v>
      </c>
    </row>
    <row r="171" spans="1:10" x14ac:dyDescent="0.45">
      <c r="A171" s="5">
        <f t="shared" si="12"/>
        <v>170</v>
      </c>
      <c r="B171" s="5"/>
      <c r="C171" s="5"/>
      <c r="D171" s="5"/>
      <c r="E171" s="5"/>
      <c r="F171" s="5"/>
      <c r="G171" s="5"/>
      <c r="H171" s="5"/>
      <c r="I171" s="6"/>
      <c r="J171" s="5">
        <f t="shared" si="13"/>
        <v>0</v>
      </c>
    </row>
    <row r="172" spans="1:10" x14ac:dyDescent="0.45">
      <c r="A172" s="5">
        <f t="shared" si="12"/>
        <v>171</v>
      </c>
      <c r="B172" s="5"/>
      <c r="C172" s="5"/>
      <c r="D172" s="5"/>
      <c r="E172" s="5"/>
      <c r="F172" s="5"/>
      <c r="G172" s="5"/>
      <c r="H172" s="5"/>
      <c r="I172" s="6"/>
      <c r="J172" s="5">
        <f t="shared" si="13"/>
        <v>0</v>
      </c>
    </row>
    <row r="173" spans="1:10" x14ac:dyDescent="0.45">
      <c r="A173" s="5">
        <f t="shared" si="12"/>
        <v>172</v>
      </c>
      <c r="B173" s="5"/>
      <c r="C173" s="5"/>
      <c r="D173" s="5"/>
      <c r="E173" s="5"/>
      <c r="F173" s="5"/>
      <c r="G173" s="5"/>
      <c r="H173" s="5"/>
      <c r="I173" s="6"/>
      <c r="J173" s="5">
        <f t="shared" si="13"/>
        <v>0</v>
      </c>
    </row>
    <row r="174" spans="1:10" x14ac:dyDescent="0.45">
      <c r="A174" s="5">
        <f t="shared" si="12"/>
        <v>173</v>
      </c>
      <c r="B174" s="5"/>
      <c r="C174" s="5"/>
      <c r="D174" s="5"/>
      <c r="E174" s="5"/>
      <c r="F174" s="5"/>
      <c r="G174" s="5"/>
      <c r="H174" s="5"/>
      <c r="I174" s="6"/>
      <c r="J174" s="5">
        <f t="shared" si="13"/>
        <v>0</v>
      </c>
    </row>
    <row r="175" spans="1:10" x14ac:dyDescent="0.45">
      <c r="A175" s="5">
        <f t="shared" si="12"/>
        <v>174</v>
      </c>
      <c r="B175" s="5"/>
      <c r="C175" s="5"/>
      <c r="D175" s="5"/>
      <c r="E175" s="5"/>
      <c r="F175" s="5"/>
      <c r="G175" s="5"/>
      <c r="H175" s="5"/>
      <c r="I175" s="6"/>
      <c r="J175" s="5">
        <f t="shared" si="13"/>
        <v>0</v>
      </c>
    </row>
    <row r="176" spans="1:10" x14ac:dyDescent="0.45">
      <c r="A176" s="5">
        <f t="shared" si="12"/>
        <v>175</v>
      </c>
      <c r="B176" s="5"/>
      <c r="C176" s="5"/>
      <c r="D176" s="5"/>
      <c r="E176" s="5"/>
      <c r="F176" s="5"/>
      <c r="G176" s="5"/>
      <c r="H176" s="5"/>
      <c r="I176" s="6"/>
      <c r="J176" s="5">
        <f t="shared" si="13"/>
        <v>0</v>
      </c>
    </row>
    <row r="177" spans="1:10" x14ac:dyDescent="0.45">
      <c r="A177" s="5">
        <f t="shared" si="12"/>
        <v>176</v>
      </c>
      <c r="B177" s="5"/>
      <c r="C177" s="5"/>
      <c r="D177" s="5"/>
      <c r="E177" s="5"/>
      <c r="F177" s="5"/>
      <c r="G177" s="5"/>
      <c r="H177" s="5"/>
      <c r="I177" s="6"/>
      <c r="J177" s="5">
        <f t="shared" si="13"/>
        <v>0</v>
      </c>
    </row>
    <row r="178" spans="1:10" x14ac:dyDescent="0.45">
      <c r="A178" s="5">
        <f t="shared" si="12"/>
        <v>177</v>
      </c>
      <c r="B178" s="5"/>
      <c r="C178" s="5"/>
      <c r="D178" s="5"/>
      <c r="E178" s="5"/>
      <c r="F178" s="5"/>
      <c r="G178" s="5"/>
      <c r="H178" s="5"/>
      <c r="I178" s="6"/>
      <c r="J178" s="5">
        <f t="shared" si="13"/>
        <v>0</v>
      </c>
    </row>
    <row r="179" spans="1:10" x14ac:dyDescent="0.45">
      <c r="A179" s="5">
        <f t="shared" si="12"/>
        <v>178</v>
      </c>
      <c r="B179" s="5"/>
      <c r="C179" s="5"/>
      <c r="D179" s="5"/>
      <c r="E179" s="5"/>
      <c r="F179" s="5"/>
      <c r="G179" s="5"/>
      <c r="H179" s="5"/>
      <c r="I179" s="6"/>
      <c r="J179" s="5">
        <f t="shared" si="13"/>
        <v>0</v>
      </c>
    </row>
    <row r="180" spans="1:10" x14ac:dyDescent="0.45">
      <c r="A180" s="5">
        <f t="shared" si="12"/>
        <v>179</v>
      </c>
      <c r="B180" s="5"/>
      <c r="C180" s="5"/>
      <c r="D180" s="5"/>
      <c r="E180" s="5"/>
      <c r="F180" s="5"/>
      <c r="G180" s="5"/>
      <c r="H180" s="5"/>
      <c r="I180" s="6"/>
      <c r="J180" s="5">
        <f t="shared" si="13"/>
        <v>0</v>
      </c>
    </row>
    <row r="181" spans="1:10" x14ac:dyDescent="0.45">
      <c r="A181" s="5">
        <f t="shared" si="12"/>
        <v>180</v>
      </c>
      <c r="B181" s="5"/>
      <c r="C181" s="5"/>
      <c r="D181" s="5"/>
      <c r="E181" s="5"/>
      <c r="F181" s="5"/>
      <c r="G181" s="5"/>
      <c r="H181" s="5"/>
      <c r="I181" s="6"/>
      <c r="J181" s="5">
        <f t="shared" si="13"/>
        <v>0</v>
      </c>
    </row>
    <row r="182" spans="1:10" x14ac:dyDescent="0.45">
      <c r="A182" s="5">
        <f t="shared" si="12"/>
        <v>181</v>
      </c>
      <c r="B182" s="5"/>
      <c r="C182" s="5"/>
      <c r="D182" s="5"/>
      <c r="E182" s="5"/>
      <c r="F182" s="5"/>
      <c r="G182" s="5"/>
      <c r="H182" s="5"/>
      <c r="I182" s="6"/>
      <c r="J182" s="5">
        <f t="shared" si="13"/>
        <v>0</v>
      </c>
    </row>
    <row r="183" spans="1:10" x14ac:dyDescent="0.45">
      <c r="A183" s="5">
        <f t="shared" si="12"/>
        <v>182</v>
      </c>
      <c r="B183" s="5"/>
      <c r="C183" s="5"/>
      <c r="D183" s="5"/>
      <c r="E183" s="5"/>
      <c r="F183" s="5"/>
      <c r="G183" s="5"/>
      <c r="H183" s="5"/>
      <c r="I183" s="6"/>
      <c r="J183" s="5">
        <f t="shared" si="13"/>
        <v>0</v>
      </c>
    </row>
    <row r="184" spans="1:10" x14ac:dyDescent="0.45">
      <c r="A184" s="5">
        <f t="shared" si="12"/>
        <v>183</v>
      </c>
      <c r="B184" s="5"/>
      <c r="C184" s="5"/>
      <c r="D184" s="5"/>
      <c r="E184" s="5"/>
      <c r="F184" s="5"/>
      <c r="G184" s="5"/>
      <c r="H184" s="5"/>
      <c r="I184" s="6"/>
      <c r="J184" s="5">
        <f t="shared" si="13"/>
        <v>0</v>
      </c>
    </row>
  </sheetData>
  <autoFilter ref="A1:V184" xr:uid="{00000000-0001-0000-0100-000000000000}">
    <sortState xmlns:xlrd2="http://schemas.microsoft.com/office/spreadsheetml/2017/richdata2" ref="A12:V20">
      <sortCondition descending="1" ref="J1:J184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مرجع!$C$2:$C$5</xm:f>
          </x14:formula1>
          <xm:sqref>B90:B94 B2:B10 B35:B47 B21</xm:sqref>
        </x14:dataValidation>
        <x14:dataValidation type="list" allowBlank="1" showInputMessage="1" showErrorMessage="1" xr:uid="{00000000-0002-0000-0100-000001000000}">
          <x14:formula1>
            <xm:f>مرجع!$F$2:$F$13</xm:f>
          </x14:formula1>
          <xm:sqref>C90:C94 C2:C10 C35:C47 C21</xm:sqref>
        </x14:dataValidation>
        <x14:dataValidation type="list" allowBlank="1" showInputMessage="1" showErrorMessage="1" xr:uid="{00000000-0002-0000-0100-000002000000}">
          <x14:formula1>
            <xm:f>مرجع!$AC$2:$AC$5</xm:f>
          </x14:formula1>
          <xm:sqref>D90:D91 D17:D21 D35:D47 D2:D9</xm:sqref>
        </x14:dataValidation>
        <x14:dataValidation type="list" allowBlank="1" showInputMessage="1" showErrorMessage="1" xr:uid="{00000000-0002-0000-0100-000003000000}">
          <x14:formula1>
            <xm:f>مرجع!$J$2:$J$12</xm:f>
          </x14:formula1>
          <xm:sqref>E11 E20:E1048576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109"/>
  <sheetViews>
    <sheetView rightToLeft="1" topLeftCell="C1" zoomScaleNormal="100" workbookViewId="0">
      <pane ySplit="1" topLeftCell="A2" activePane="bottomLeft" state="frozen"/>
      <selection pane="bottomLeft" activeCell="K6" sqref="K6"/>
    </sheetView>
  </sheetViews>
  <sheetFormatPr defaultRowHeight="14.25" x14ac:dyDescent="0.45"/>
  <cols>
    <col min="1" max="4" width="9.1328125" style="8"/>
    <col min="5" max="5" width="19.59765625" style="8" customWidth="1"/>
    <col min="6" max="6" width="17.1328125" style="8" bestFit="1" customWidth="1"/>
    <col min="7" max="7" width="12.59765625" style="8" customWidth="1"/>
    <col min="8" max="8" width="10.86328125" style="8" customWidth="1"/>
    <col min="9" max="9" width="26.1328125" style="8" customWidth="1"/>
    <col min="10" max="10" width="15" style="8" bestFit="1" customWidth="1"/>
    <col min="11" max="11" width="9.1328125" style="8"/>
  </cols>
  <sheetData>
    <row r="1" spans="1:11" ht="21.4" x14ac:dyDescent="1">
      <c r="A1" s="9" t="s">
        <v>605</v>
      </c>
      <c r="B1" s="9" t="s">
        <v>606</v>
      </c>
      <c r="C1" s="9" t="s">
        <v>607</v>
      </c>
      <c r="D1" s="9" t="s">
        <v>608</v>
      </c>
      <c r="E1" s="9" t="s">
        <v>609</v>
      </c>
      <c r="F1" s="9" t="s">
        <v>610</v>
      </c>
      <c r="G1" s="9" t="s">
        <v>611</v>
      </c>
      <c r="H1" s="9" t="s">
        <v>612</v>
      </c>
      <c r="I1" s="32" t="s">
        <v>613</v>
      </c>
      <c r="J1" s="9" t="s">
        <v>615</v>
      </c>
      <c r="K1" s="9" t="s">
        <v>614</v>
      </c>
    </row>
    <row r="2" spans="1:11" hidden="1" x14ac:dyDescent="0.45">
      <c r="A2" s="5">
        <f>ROW(A2)-1</f>
        <v>1</v>
      </c>
      <c r="B2" s="5">
        <v>1405</v>
      </c>
      <c r="C2" s="5" t="s">
        <v>46</v>
      </c>
      <c r="D2" s="5">
        <v>2</v>
      </c>
      <c r="E2" s="5" t="s">
        <v>20</v>
      </c>
      <c r="F2" s="5">
        <v>4.66</v>
      </c>
      <c r="G2" s="5">
        <v>3.56</v>
      </c>
      <c r="H2" s="5">
        <v>3.22</v>
      </c>
      <c r="I2" s="5">
        <v>3.5</v>
      </c>
      <c r="J2" s="5">
        <v>3</v>
      </c>
      <c r="K2" s="5">
        <f>((F2)+(G2*1.5)+(H2*0.75)+(I2*0.25)+(J2*1.5))/5</f>
        <v>3.5579999999999998</v>
      </c>
    </row>
    <row r="3" spans="1:11" hidden="1" x14ac:dyDescent="0.45">
      <c r="A3" s="5">
        <f t="shared" ref="A3:A65" si="0">ROW(A3)-1</f>
        <v>2</v>
      </c>
      <c r="B3" s="5">
        <v>1405</v>
      </c>
      <c r="C3" s="5" t="s">
        <v>46</v>
      </c>
      <c r="D3" s="5">
        <v>2</v>
      </c>
      <c r="E3" s="5" t="s">
        <v>48</v>
      </c>
      <c r="F3" s="5">
        <v>4.8600000000000003</v>
      </c>
      <c r="G3" s="5">
        <v>3.72</v>
      </c>
      <c r="H3" s="5">
        <v>3</v>
      </c>
      <c r="I3" s="5">
        <v>3.25</v>
      </c>
      <c r="J3" s="5">
        <v>3</v>
      </c>
      <c r="K3" s="5">
        <f t="shared" ref="K3:K66" si="1">((F3)+(G3*1.5)+(H3*0.75)+(I3*0.25)+(J3*1.5))/5</f>
        <v>3.6005000000000003</v>
      </c>
    </row>
    <row r="4" spans="1:11" hidden="1" x14ac:dyDescent="0.45">
      <c r="A4" s="5">
        <f t="shared" si="0"/>
        <v>3</v>
      </c>
      <c r="B4" s="5">
        <v>1405</v>
      </c>
      <c r="C4" s="5" t="s">
        <v>46</v>
      </c>
      <c r="D4" s="5">
        <v>2</v>
      </c>
      <c r="E4" s="5" t="s">
        <v>589</v>
      </c>
      <c r="F4" s="5">
        <v>4.8</v>
      </c>
      <c r="G4" s="5">
        <v>3.72</v>
      </c>
      <c r="H4" s="5">
        <v>2.88</v>
      </c>
      <c r="I4" s="5">
        <v>4</v>
      </c>
      <c r="J4" s="5">
        <v>3</v>
      </c>
      <c r="K4" s="5">
        <f t="shared" si="1"/>
        <v>3.6079999999999997</v>
      </c>
    </row>
    <row r="5" spans="1:11" hidden="1" x14ac:dyDescent="0.45">
      <c r="A5" s="5">
        <f t="shared" si="0"/>
        <v>4</v>
      </c>
      <c r="B5" s="5">
        <v>1405</v>
      </c>
      <c r="C5" s="5" t="s">
        <v>46</v>
      </c>
      <c r="D5" s="5">
        <v>2</v>
      </c>
      <c r="E5" s="5" t="s">
        <v>590</v>
      </c>
      <c r="F5" s="5">
        <v>4.13</v>
      </c>
      <c r="G5" s="5">
        <v>3</v>
      </c>
      <c r="H5" s="5">
        <v>2.66</v>
      </c>
      <c r="I5" s="5">
        <v>3.5</v>
      </c>
      <c r="J5" s="5">
        <v>3</v>
      </c>
      <c r="K5" s="5">
        <f t="shared" si="1"/>
        <v>3.2</v>
      </c>
    </row>
    <row r="6" spans="1:11" x14ac:dyDescent="0.45">
      <c r="A6" s="5">
        <f>ROW(A6)-1</f>
        <v>5</v>
      </c>
      <c r="B6" s="5">
        <v>1405</v>
      </c>
      <c r="C6" s="5" t="s">
        <v>46</v>
      </c>
      <c r="D6" s="5">
        <v>3</v>
      </c>
      <c r="E6" s="5" t="s">
        <v>48</v>
      </c>
      <c r="F6" s="5">
        <v>4.333333333333333</v>
      </c>
      <c r="G6" s="5">
        <v>3.85</v>
      </c>
      <c r="H6" s="5">
        <v>3</v>
      </c>
      <c r="I6" s="5">
        <v>3.5</v>
      </c>
      <c r="J6" s="5">
        <v>3</v>
      </c>
      <c r="K6" s="5">
        <f>((F6)+(G6*1.5)+(H6*0.75)+(I6*0.25)+(J6*1.5))/5</f>
        <v>3.5466666666666669</v>
      </c>
    </row>
    <row r="7" spans="1:11" x14ac:dyDescent="0.45">
      <c r="A7" s="5">
        <f>ROW(A7)-1</f>
        <v>6</v>
      </c>
      <c r="B7" s="5">
        <v>1405</v>
      </c>
      <c r="C7" s="5" t="s">
        <v>46</v>
      </c>
      <c r="D7" s="5">
        <v>3</v>
      </c>
      <c r="E7" s="5" t="s">
        <v>20</v>
      </c>
      <c r="F7" s="5">
        <v>4.333333333333333</v>
      </c>
      <c r="G7" s="5">
        <v>3.69</v>
      </c>
      <c r="H7" s="5">
        <v>3.22</v>
      </c>
      <c r="I7" s="5">
        <v>3.5</v>
      </c>
      <c r="J7" s="5">
        <v>3</v>
      </c>
      <c r="K7" s="5">
        <f>((F7)+(G7*1.5)+(H7*0.75)+(I7*0.25)+(J7*1.5))/5</f>
        <v>3.5316666666666663</v>
      </c>
    </row>
    <row r="8" spans="1:11" x14ac:dyDescent="0.45">
      <c r="A8" s="5">
        <f>ROW(A8)-1</f>
        <v>7</v>
      </c>
      <c r="B8" s="5">
        <v>1405</v>
      </c>
      <c r="C8" s="5" t="s">
        <v>46</v>
      </c>
      <c r="D8" s="5">
        <v>3</v>
      </c>
      <c r="E8" s="5" t="s">
        <v>589</v>
      </c>
      <c r="F8" s="5">
        <v>4.2</v>
      </c>
      <c r="G8" s="5">
        <v>3.61</v>
      </c>
      <c r="H8" s="5">
        <v>2.88</v>
      </c>
      <c r="I8" s="5">
        <v>4</v>
      </c>
      <c r="J8" s="5">
        <v>3</v>
      </c>
      <c r="K8" s="5">
        <f>((F8)+(G8*1.5)+(H8*0.75)+(I8*0.25)+(J8*1.5))/5</f>
        <v>3.4549999999999996</v>
      </c>
    </row>
    <row r="9" spans="1:11" x14ac:dyDescent="0.45">
      <c r="A9" s="5">
        <f>ROW(A9)-1</f>
        <v>8</v>
      </c>
      <c r="B9" s="5">
        <v>1405</v>
      </c>
      <c r="C9" s="5" t="s">
        <v>46</v>
      </c>
      <c r="D9" s="5">
        <v>3</v>
      </c>
      <c r="E9" s="5" t="s">
        <v>590</v>
      </c>
      <c r="F9" s="5">
        <v>3.3333333333333335</v>
      </c>
      <c r="G9" s="5">
        <v>3.22</v>
      </c>
      <c r="H9" s="5">
        <v>2.66</v>
      </c>
      <c r="I9" s="5">
        <v>3.75</v>
      </c>
      <c r="J9" s="5">
        <v>3</v>
      </c>
      <c r="K9" s="5">
        <f>((F9)+(G9*1.5)+(H9*0.75)+(I9*0.25)+(J9*1.5))/5</f>
        <v>3.1191666666666671</v>
      </c>
    </row>
    <row r="10" spans="1:11" hidden="1" x14ac:dyDescent="0.45">
      <c r="A10" s="5">
        <f t="shared" si="0"/>
        <v>9</v>
      </c>
      <c r="B10" s="5"/>
      <c r="C10" s="5"/>
      <c r="D10" s="5"/>
      <c r="E10" s="5"/>
      <c r="F10" s="5"/>
      <c r="G10" s="5"/>
      <c r="H10" s="5"/>
      <c r="I10" s="5"/>
      <c r="J10" s="5"/>
      <c r="K10" s="5">
        <f t="shared" si="1"/>
        <v>0</v>
      </c>
    </row>
    <row r="11" spans="1:11" hidden="1" x14ac:dyDescent="0.45">
      <c r="A11" s="5">
        <f t="shared" si="0"/>
        <v>10</v>
      </c>
      <c r="B11" s="5"/>
      <c r="C11" s="5"/>
      <c r="D11" s="5"/>
      <c r="E11" s="5"/>
      <c r="F11" s="5"/>
      <c r="G11" s="5"/>
      <c r="H11" s="5"/>
      <c r="I11" s="5"/>
      <c r="J11" s="5"/>
      <c r="K11" s="5">
        <f t="shared" si="1"/>
        <v>0</v>
      </c>
    </row>
    <row r="12" spans="1:11" hidden="1" x14ac:dyDescent="0.45">
      <c r="A12" s="5">
        <f t="shared" si="0"/>
        <v>11</v>
      </c>
      <c r="B12" s="5"/>
      <c r="C12" s="5"/>
      <c r="D12" s="5"/>
      <c r="E12" s="5"/>
      <c r="F12" s="5"/>
      <c r="G12" s="5"/>
      <c r="H12" s="5"/>
      <c r="I12" s="5"/>
      <c r="J12" s="5"/>
      <c r="K12" s="5">
        <f t="shared" si="1"/>
        <v>0</v>
      </c>
    </row>
    <row r="13" spans="1:11" hidden="1" x14ac:dyDescent="0.45">
      <c r="A13" s="5">
        <f t="shared" si="0"/>
        <v>12</v>
      </c>
      <c r="B13" s="5"/>
      <c r="C13" s="5"/>
      <c r="D13" s="5"/>
      <c r="E13" s="5"/>
      <c r="F13" s="5"/>
      <c r="G13" s="5"/>
      <c r="H13" s="5"/>
      <c r="I13" s="5"/>
      <c r="J13" s="5"/>
      <c r="K13" s="5">
        <f t="shared" si="1"/>
        <v>0</v>
      </c>
    </row>
    <row r="14" spans="1:11" hidden="1" x14ac:dyDescent="0.45">
      <c r="A14" s="5">
        <f t="shared" si="0"/>
        <v>13</v>
      </c>
      <c r="B14" s="5"/>
      <c r="C14" s="5"/>
      <c r="D14" s="5"/>
      <c r="E14" s="5"/>
      <c r="F14" s="5"/>
      <c r="G14" s="5"/>
      <c r="H14" s="5"/>
      <c r="I14" s="5"/>
      <c r="J14" s="5"/>
      <c r="K14" s="5">
        <f t="shared" si="1"/>
        <v>0</v>
      </c>
    </row>
    <row r="15" spans="1:11" hidden="1" x14ac:dyDescent="0.45">
      <c r="A15" s="5">
        <f t="shared" si="0"/>
        <v>14</v>
      </c>
      <c r="B15" s="5"/>
      <c r="C15" s="5"/>
      <c r="D15" s="5"/>
      <c r="E15" s="5"/>
      <c r="F15" s="5"/>
      <c r="G15" s="5"/>
      <c r="H15" s="5"/>
      <c r="I15" s="5"/>
      <c r="J15" s="5"/>
      <c r="K15" s="5">
        <f t="shared" si="1"/>
        <v>0</v>
      </c>
    </row>
    <row r="16" spans="1:11" hidden="1" x14ac:dyDescent="0.45">
      <c r="A16" s="5">
        <f t="shared" si="0"/>
        <v>15</v>
      </c>
      <c r="B16" s="5"/>
      <c r="C16" s="5"/>
      <c r="D16" s="5"/>
      <c r="E16" s="5"/>
      <c r="F16" s="5"/>
      <c r="G16" s="5"/>
      <c r="H16" s="5"/>
      <c r="I16" s="5"/>
      <c r="J16" s="5"/>
      <c r="K16" s="5">
        <f t="shared" si="1"/>
        <v>0</v>
      </c>
    </row>
    <row r="17" spans="1:11" hidden="1" x14ac:dyDescent="0.45">
      <c r="A17" s="5">
        <f t="shared" si="0"/>
        <v>16</v>
      </c>
      <c r="B17" s="5"/>
      <c r="C17" s="5"/>
      <c r="D17" s="5"/>
      <c r="E17" s="5"/>
      <c r="F17" s="5"/>
      <c r="G17" s="5"/>
      <c r="H17" s="5"/>
      <c r="I17" s="5"/>
      <c r="J17" s="5"/>
      <c r="K17" s="5">
        <f t="shared" si="1"/>
        <v>0</v>
      </c>
    </row>
    <row r="18" spans="1:11" hidden="1" x14ac:dyDescent="0.45">
      <c r="A18" s="5">
        <f t="shared" si="0"/>
        <v>17</v>
      </c>
      <c r="B18" s="5"/>
      <c r="C18" s="5"/>
      <c r="D18" s="5"/>
      <c r="E18" s="5"/>
      <c r="F18" s="5"/>
      <c r="G18" s="5"/>
      <c r="H18" s="5"/>
      <c r="I18" s="5"/>
      <c r="J18" s="5"/>
      <c r="K18" s="5">
        <f t="shared" si="1"/>
        <v>0</v>
      </c>
    </row>
    <row r="19" spans="1:11" hidden="1" x14ac:dyDescent="0.45">
      <c r="A19" s="5">
        <f t="shared" si="0"/>
        <v>18</v>
      </c>
      <c r="B19" s="5"/>
      <c r="C19" s="5"/>
      <c r="D19" s="5"/>
      <c r="E19" s="5"/>
      <c r="F19" s="5"/>
      <c r="G19" s="5"/>
      <c r="H19" s="5"/>
      <c r="I19" s="5"/>
      <c r="J19" s="5"/>
      <c r="K19" s="5">
        <f t="shared" si="1"/>
        <v>0</v>
      </c>
    </row>
    <row r="20" spans="1:11" hidden="1" x14ac:dyDescent="0.45">
      <c r="A20" s="5">
        <f t="shared" si="0"/>
        <v>19</v>
      </c>
      <c r="B20" s="5"/>
      <c r="C20" s="5"/>
      <c r="D20" s="5"/>
      <c r="E20" s="5"/>
      <c r="F20" s="5"/>
      <c r="G20" s="5"/>
      <c r="H20" s="5"/>
      <c r="I20" s="5"/>
      <c r="J20" s="5"/>
      <c r="K20" s="5">
        <f t="shared" si="1"/>
        <v>0</v>
      </c>
    </row>
    <row r="21" spans="1:11" hidden="1" x14ac:dyDescent="0.45">
      <c r="A21" s="5">
        <f t="shared" si="0"/>
        <v>20</v>
      </c>
      <c r="B21" s="5"/>
      <c r="C21" s="5"/>
      <c r="D21" s="5"/>
      <c r="E21" s="5"/>
      <c r="F21" s="5"/>
      <c r="G21" s="5"/>
      <c r="H21" s="5"/>
      <c r="I21" s="5"/>
      <c r="J21" s="5"/>
      <c r="K21" s="5">
        <f t="shared" si="1"/>
        <v>0</v>
      </c>
    </row>
    <row r="22" spans="1:11" hidden="1" x14ac:dyDescent="0.45">
      <c r="A22" s="5">
        <f t="shared" si="0"/>
        <v>21</v>
      </c>
      <c r="B22" s="5"/>
      <c r="C22" s="5"/>
      <c r="D22" s="5"/>
      <c r="E22" s="5"/>
      <c r="F22" s="5"/>
      <c r="G22" s="5"/>
      <c r="H22" s="5"/>
      <c r="I22" s="5"/>
      <c r="J22" s="5"/>
      <c r="K22" s="5">
        <f t="shared" si="1"/>
        <v>0</v>
      </c>
    </row>
    <row r="23" spans="1:11" hidden="1" x14ac:dyDescent="0.45">
      <c r="A23" s="5">
        <f t="shared" si="0"/>
        <v>22</v>
      </c>
      <c r="B23" s="5"/>
      <c r="C23" s="5"/>
      <c r="D23" s="5"/>
      <c r="E23" s="5"/>
      <c r="F23" s="5"/>
      <c r="G23" s="5"/>
      <c r="H23" s="5"/>
      <c r="I23" s="5"/>
      <c r="J23" s="5"/>
      <c r="K23" s="5">
        <f t="shared" si="1"/>
        <v>0</v>
      </c>
    </row>
    <row r="24" spans="1:11" hidden="1" x14ac:dyDescent="0.45">
      <c r="A24" s="5">
        <f t="shared" si="0"/>
        <v>23</v>
      </c>
      <c r="B24" s="5"/>
      <c r="C24" s="5"/>
      <c r="D24" s="5"/>
      <c r="E24" s="5"/>
      <c r="F24" s="5"/>
      <c r="G24" s="5"/>
      <c r="H24" s="5"/>
      <c r="I24" s="5"/>
      <c r="J24" s="5"/>
      <c r="K24" s="5">
        <f t="shared" si="1"/>
        <v>0</v>
      </c>
    </row>
    <row r="25" spans="1:11" hidden="1" x14ac:dyDescent="0.45">
      <c r="A25" s="5">
        <f t="shared" si="0"/>
        <v>24</v>
      </c>
      <c r="B25" s="5"/>
      <c r="C25" s="5"/>
      <c r="D25" s="5"/>
      <c r="E25" s="5"/>
      <c r="F25" s="5"/>
      <c r="G25" s="5"/>
      <c r="H25" s="5"/>
      <c r="I25" s="5"/>
      <c r="J25" s="5"/>
      <c r="K25" s="5">
        <f t="shared" si="1"/>
        <v>0</v>
      </c>
    </row>
    <row r="26" spans="1:11" hidden="1" x14ac:dyDescent="0.45">
      <c r="A26" s="5">
        <f t="shared" si="0"/>
        <v>25</v>
      </c>
      <c r="B26" s="5"/>
      <c r="C26" s="5"/>
      <c r="D26" s="5"/>
      <c r="E26" s="5"/>
      <c r="F26" s="5"/>
      <c r="G26" s="5"/>
      <c r="H26" s="5"/>
      <c r="I26" s="5"/>
      <c r="J26" s="5"/>
      <c r="K26" s="5">
        <f t="shared" si="1"/>
        <v>0</v>
      </c>
    </row>
    <row r="27" spans="1:11" hidden="1" x14ac:dyDescent="0.45">
      <c r="A27" s="5">
        <f t="shared" si="0"/>
        <v>26</v>
      </c>
      <c r="B27" s="5"/>
      <c r="C27" s="5"/>
      <c r="D27" s="5"/>
      <c r="E27" s="5"/>
      <c r="F27" s="5"/>
      <c r="G27" s="5"/>
      <c r="H27" s="5"/>
      <c r="I27" s="5"/>
      <c r="J27" s="5"/>
      <c r="K27" s="5">
        <f t="shared" si="1"/>
        <v>0</v>
      </c>
    </row>
    <row r="28" spans="1:11" hidden="1" x14ac:dyDescent="0.45">
      <c r="A28" s="5">
        <f t="shared" si="0"/>
        <v>27</v>
      </c>
      <c r="B28" s="5"/>
      <c r="C28" s="5"/>
      <c r="D28" s="5"/>
      <c r="E28" s="5"/>
      <c r="F28" s="5"/>
      <c r="G28" s="5"/>
      <c r="H28" s="5"/>
      <c r="I28" s="5"/>
      <c r="J28" s="5"/>
      <c r="K28" s="5">
        <f t="shared" si="1"/>
        <v>0</v>
      </c>
    </row>
    <row r="29" spans="1:11" hidden="1" x14ac:dyDescent="0.45">
      <c r="A29" s="5">
        <f t="shared" si="0"/>
        <v>28</v>
      </c>
      <c r="B29" s="5"/>
      <c r="C29" s="5"/>
      <c r="D29" s="5"/>
      <c r="E29" s="5"/>
      <c r="F29" s="5"/>
      <c r="G29" s="5"/>
      <c r="H29" s="5"/>
      <c r="I29" s="5"/>
      <c r="J29" s="5"/>
      <c r="K29" s="5">
        <f t="shared" si="1"/>
        <v>0</v>
      </c>
    </row>
    <row r="30" spans="1:11" hidden="1" x14ac:dyDescent="0.45">
      <c r="A30" s="5">
        <f t="shared" si="0"/>
        <v>29</v>
      </c>
      <c r="B30" s="5"/>
      <c r="C30" s="5"/>
      <c r="D30" s="5"/>
      <c r="E30" s="5"/>
      <c r="F30" s="5"/>
      <c r="G30" s="5"/>
      <c r="H30" s="5"/>
      <c r="I30" s="5"/>
      <c r="J30" s="5"/>
      <c r="K30" s="5">
        <f t="shared" si="1"/>
        <v>0</v>
      </c>
    </row>
    <row r="31" spans="1:11" hidden="1" x14ac:dyDescent="0.45">
      <c r="A31" s="5">
        <f t="shared" si="0"/>
        <v>30</v>
      </c>
      <c r="B31" s="5"/>
      <c r="C31" s="5"/>
      <c r="D31" s="5"/>
      <c r="E31" s="5"/>
      <c r="F31" s="5"/>
      <c r="G31" s="5"/>
      <c r="H31" s="5"/>
      <c r="I31" s="5"/>
      <c r="J31" s="5"/>
      <c r="K31" s="5">
        <f t="shared" si="1"/>
        <v>0</v>
      </c>
    </row>
    <row r="32" spans="1:11" hidden="1" x14ac:dyDescent="0.45">
      <c r="A32" s="5">
        <f t="shared" si="0"/>
        <v>31</v>
      </c>
      <c r="B32" s="5"/>
      <c r="C32" s="5"/>
      <c r="D32" s="5"/>
      <c r="E32" s="5"/>
      <c r="F32" s="5"/>
      <c r="G32" s="5"/>
      <c r="H32" s="5"/>
      <c r="I32" s="5"/>
      <c r="J32" s="5"/>
      <c r="K32" s="5">
        <f t="shared" si="1"/>
        <v>0</v>
      </c>
    </row>
    <row r="33" spans="1:11" hidden="1" x14ac:dyDescent="0.45">
      <c r="A33" s="5">
        <f t="shared" si="0"/>
        <v>32</v>
      </c>
      <c r="B33" s="5"/>
      <c r="C33" s="5"/>
      <c r="D33" s="5"/>
      <c r="E33" s="5"/>
      <c r="F33" s="5"/>
      <c r="G33" s="5"/>
      <c r="H33" s="5"/>
      <c r="I33" s="5"/>
      <c r="J33" s="5"/>
      <c r="K33" s="5">
        <f t="shared" si="1"/>
        <v>0</v>
      </c>
    </row>
    <row r="34" spans="1:11" hidden="1" x14ac:dyDescent="0.45">
      <c r="A34" s="5">
        <f t="shared" si="0"/>
        <v>33</v>
      </c>
      <c r="B34" s="5"/>
      <c r="C34" s="5"/>
      <c r="D34" s="5"/>
      <c r="E34" s="5"/>
      <c r="F34" s="5"/>
      <c r="G34" s="5"/>
      <c r="H34" s="5"/>
      <c r="I34" s="5"/>
      <c r="J34" s="5"/>
      <c r="K34" s="5">
        <f t="shared" si="1"/>
        <v>0</v>
      </c>
    </row>
    <row r="35" spans="1:11" hidden="1" x14ac:dyDescent="0.45">
      <c r="A35" s="5">
        <f t="shared" si="0"/>
        <v>34</v>
      </c>
      <c r="B35" s="5"/>
      <c r="C35" s="5"/>
      <c r="D35" s="5"/>
      <c r="E35" s="5"/>
      <c r="F35" s="5"/>
      <c r="G35" s="5"/>
      <c r="H35" s="5"/>
      <c r="I35" s="5"/>
      <c r="J35" s="5"/>
      <c r="K35" s="5">
        <f t="shared" si="1"/>
        <v>0</v>
      </c>
    </row>
    <row r="36" spans="1:11" hidden="1" x14ac:dyDescent="0.45">
      <c r="A36" s="5">
        <f t="shared" si="0"/>
        <v>35</v>
      </c>
      <c r="B36" s="5"/>
      <c r="C36" s="5"/>
      <c r="D36" s="5"/>
      <c r="E36" s="5"/>
      <c r="F36" s="5"/>
      <c r="G36" s="5"/>
      <c r="H36" s="5"/>
      <c r="I36" s="5"/>
      <c r="J36" s="5"/>
      <c r="K36" s="5">
        <f t="shared" si="1"/>
        <v>0</v>
      </c>
    </row>
    <row r="37" spans="1:11" hidden="1" x14ac:dyDescent="0.45">
      <c r="A37" s="5">
        <f t="shared" si="0"/>
        <v>36</v>
      </c>
      <c r="B37" s="5"/>
      <c r="C37" s="5"/>
      <c r="D37" s="5"/>
      <c r="E37" s="5"/>
      <c r="F37" s="5"/>
      <c r="G37" s="5"/>
      <c r="H37" s="5"/>
      <c r="I37" s="5"/>
      <c r="J37" s="5"/>
      <c r="K37" s="5">
        <f t="shared" si="1"/>
        <v>0</v>
      </c>
    </row>
    <row r="38" spans="1:11" hidden="1" x14ac:dyDescent="0.45">
      <c r="A38" s="5">
        <f t="shared" si="0"/>
        <v>37</v>
      </c>
      <c r="B38" s="5"/>
      <c r="C38" s="5"/>
      <c r="D38" s="5"/>
      <c r="E38" s="5"/>
      <c r="F38" s="5"/>
      <c r="G38" s="5"/>
      <c r="H38" s="5"/>
      <c r="I38" s="5"/>
      <c r="J38" s="5"/>
      <c r="K38" s="5">
        <f t="shared" si="1"/>
        <v>0</v>
      </c>
    </row>
    <row r="39" spans="1:11" hidden="1" x14ac:dyDescent="0.45">
      <c r="A39" s="5">
        <f t="shared" si="0"/>
        <v>38</v>
      </c>
      <c r="B39" s="5"/>
      <c r="C39" s="5"/>
      <c r="D39" s="5"/>
      <c r="E39" s="5"/>
      <c r="F39" s="5"/>
      <c r="G39" s="5"/>
      <c r="H39" s="5"/>
      <c r="I39" s="5"/>
      <c r="J39" s="5"/>
      <c r="K39" s="5">
        <f t="shared" si="1"/>
        <v>0</v>
      </c>
    </row>
    <row r="40" spans="1:11" hidden="1" x14ac:dyDescent="0.45">
      <c r="A40" s="5">
        <f t="shared" si="0"/>
        <v>39</v>
      </c>
      <c r="B40" s="5"/>
      <c r="C40" s="5"/>
      <c r="D40" s="5"/>
      <c r="E40" s="5"/>
      <c r="F40" s="5"/>
      <c r="G40" s="5"/>
      <c r="H40" s="5"/>
      <c r="I40" s="5"/>
      <c r="J40" s="5"/>
      <c r="K40" s="5">
        <f t="shared" si="1"/>
        <v>0</v>
      </c>
    </row>
    <row r="41" spans="1:11" hidden="1" x14ac:dyDescent="0.45">
      <c r="A41" s="5">
        <f t="shared" si="0"/>
        <v>40</v>
      </c>
      <c r="B41" s="5"/>
      <c r="C41" s="5"/>
      <c r="D41" s="5"/>
      <c r="E41" s="5"/>
      <c r="F41" s="5"/>
      <c r="G41" s="5"/>
      <c r="H41" s="5"/>
      <c r="I41" s="5"/>
      <c r="J41" s="5"/>
      <c r="K41" s="5">
        <f t="shared" si="1"/>
        <v>0</v>
      </c>
    </row>
    <row r="42" spans="1:11" hidden="1" x14ac:dyDescent="0.45">
      <c r="A42" s="5">
        <f t="shared" si="0"/>
        <v>41</v>
      </c>
      <c r="B42" s="5"/>
      <c r="C42" s="5"/>
      <c r="D42" s="5"/>
      <c r="E42" s="5"/>
      <c r="F42" s="5"/>
      <c r="G42" s="5"/>
      <c r="H42" s="5"/>
      <c r="I42" s="5"/>
      <c r="J42" s="5"/>
      <c r="K42" s="5">
        <f t="shared" si="1"/>
        <v>0</v>
      </c>
    </row>
    <row r="43" spans="1:11" hidden="1" x14ac:dyDescent="0.45">
      <c r="A43" s="5">
        <f t="shared" si="0"/>
        <v>42</v>
      </c>
      <c r="B43" s="5"/>
      <c r="C43" s="5"/>
      <c r="D43" s="5"/>
      <c r="E43" s="5"/>
      <c r="F43" s="5"/>
      <c r="G43" s="5"/>
      <c r="H43" s="5"/>
      <c r="I43" s="5"/>
      <c r="J43" s="5"/>
      <c r="K43" s="5">
        <f t="shared" si="1"/>
        <v>0</v>
      </c>
    </row>
    <row r="44" spans="1:11" hidden="1" x14ac:dyDescent="0.45">
      <c r="A44" s="5">
        <f t="shared" si="0"/>
        <v>43</v>
      </c>
      <c r="B44" s="5"/>
      <c r="C44" s="5"/>
      <c r="D44" s="5"/>
      <c r="E44" s="5"/>
      <c r="F44" s="5"/>
      <c r="G44" s="5"/>
      <c r="H44" s="5"/>
      <c r="I44" s="5"/>
      <c r="J44" s="5"/>
      <c r="K44" s="5">
        <f t="shared" si="1"/>
        <v>0</v>
      </c>
    </row>
    <row r="45" spans="1:11" hidden="1" x14ac:dyDescent="0.45">
      <c r="A45" s="5">
        <f t="shared" si="0"/>
        <v>44</v>
      </c>
      <c r="B45" s="5"/>
      <c r="C45" s="5"/>
      <c r="D45" s="5"/>
      <c r="E45" s="5"/>
      <c r="F45" s="5"/>
      <c r="G45" s="5"/>
      <c r="H45" s="5"/>
      <c r="I45" s="5"/>
      <c r="J45" s="5"/>
      <c r="K45" s="5">
        <f t="shared" si="1"/>
        <v>0</v>
      </c>
    </row>
    <row r="46" spans="1:11" hidden="1" x14ac:dyDescent="0.45">
      <c r="A46" s="5">
        <f t="shared" si="0"/>
        <v>45</v>
      </c>
      <c r="B46" s="5"/>
      <c r="C46" s="5"/>
      <c r="D46" s="5"/>
      <c r="E46" s="5"/>
      <c r="F46" s="5"/>
      <c r="G46" s="5"/>
      <c r="H46" s="5"/>
      <c r="I46" s="5"/>
      <c r="J46" s="5"/>
      <c r="K46" s="5">
        <f t="shared" si="1"/>
        <v>0</v>
      </c>
    </row>
    <row r="47" spans="1:11" hidden="1" x14ac:dyDescent="0.45">
      <c r="A47" s="5">
        <f t="shared" si="0"/>
        <v>46</v>
      </c>
      <c r="B47" s="5"/>
      <c r="C47" s="5"/>
      <c r="D47" s="5"/>
      <c r="E47" s="5"/>
      <c r="F47" s="5"/>
      <c r="G47" s="5"/>
      <c r="H47" s="5"/>
      <c r="I47" s="5"/>
      <c r="J47" s="5"/>
      <c r="K47" s="5">
        <f t="shared" si="1"/>
        <v>0</v>
      </c>
    </row>
    <row r="48" spans="1:11" hidden="1" x14ac:dyDescent="0.45">
      <c r="A48" s="5">
        <f t="shared" si="0"/>
        <v>47</v>
      </c>
      <c r="B48" s="5"/>
      <c r="C48" s="5"/>
      <c r="D48" s="5"/>
      <c r="E48" s="5"/>
      <c r="F48" s="5"/>
      <c r="G48" s="5"/>
      <c r="H48" s="5"/>
      <c r="I48" s="5"/>
      <c r="J48" s="5"/>
      <c r="K48" s="5">
        <f t="shared" si="1"/>
        <v>0</v>
      </c>
    </row>
    <row r="49" spans="1:11" hidden="1" x14ac:dyDescent="0.45">
      <c r="A49" s="5">
        <f t="shared" si="0"/>
        <v>48</v>
      </c>
      <c r="B49" s="5"/>
      <c r="C49" s="5"/>
      <c r="D49" s="5"/>
      <c r="E49" s="5"/>
      <c r="F49" s="5"/>
      <c r="G49" s="5"/>
      <c r="H49" s="5"/>
      <c r="I49" s="5"/>
      <c r="J49" s="5"/>
      <c r="K49" s="5">
        <f t="shared" si="1"/>
        <v>0</v>
      </c>
    </row>
    <row r="50" spans="1:11" hidden="1" x14ac:dyDescent="0.45">
      <c r="A50" s="5">
        <f t="shared" si="0"/>
        <v>49</v>
      </c>
      <c r="B50" s="5"/>
      <c r="C50" s="5"/>
      <c r="D50" s="5"/>
      <c r="E50" s="5"/>
      <c r="F50" s="5"/>
      <c r="G50" s="5"/>
      <c r="H50" s="5"/>
      <c r="I50" s="5"/>
      <c r="J50" s="5"/>
      <c r="K50" s="5">
        <f t="shared" si="1"/>
        <v>0</v>
      </c>
    </row>
    <row r="51" spans="1:11" hidden="1" x14ac:dyDescent="0.45">
      <c r="A51" s="5">
        <f t="shared" si="0"/>
        <v>50</v>
      </c>
      <c r="B51" s="5"/>
      <c r="C51" s="5"/>
      <c r="D51" s="5"/>
      <c r="E51" s="5"/>
      <c r="F51" s="5"/>
      <c r="G51" s="5"/>
      <c r="H51" s="5"/>
      <c r="I51" s="5"/>
      <c r="J51" s="5"/>
      <c r="K51" s="5">
        <f t="shared" si="1"/>
        <v>0</v>
      </c>
    </row>
    <row r="52" spans="1:11" hidden="1" x14ac:dyDescent="0.45">
      <c r="A52" s="5">
        <f t="shared" si="0"/>
        <v>51</v>
      </c>
      <c r="B52" s="5"/>
      <c r="C52" s="5"/>
      <c r="D52" s="5"/>
      <c r="E52" s="5"/>
      <c r="F52" s="5"/>
      <c r="G52" s="5"/>
      <c r="H52" s="5"/>
      <c r="I52" s="5"/>
      <c r="J52" s="5"/>
      <c r="K52" s="5">
        <f t="shared" si="1"/>
        <v>0</v>
      </c>
    </row>
    <row r="53" spans="1:11" hidden="1" x14ac:dyDescent="0.45">
      <c r="A53" s="5">
        <f t="shared" si="0"/>
        <v>52</v>
      </c>
      <c r="B53" s="5"/>
      <c r="C53" s="5"/>
      <c r="D53" s="5"/>
      <c r="E53" s="5"/>
      <c r="F53" s="5"/>
      <c r="G53" s="5"/>
      <c r="H53" s="5"/>
      <c r="I53" s="5"/>
      <c r="J53" s="5"/>
      <c r="K53" s="5">
        <f t="shared" si="1"/>
        <v>0</v>
      </c>
    </row>
    <row r="54" spans="1:11" hidden="1" x14ac:dyDescent="0.45">
      <c r="A54" s="5">
        <f t="shared" si="0"/>
        <v>53</v>
      </c>
      <c r="B54" s="5"/>
      <c r="C54" s="5"/>
      <c r="D54" s="5"/>
      <c r="E54" s="5"/>
      <c r="F54" s="5"/>
      <c r="G54" s="5"/>
      <c r="H54" s="5"/>
      <c r="I54" s="5"/>
      <c r="J54" s="5"/>
      <c r="K54" s="5">
        <f t="shared" si="1"/>
        <v>0</v>
      </c>
    </row>
    <row r="55" spans="1:11" hidden="1" x14ac:dyDescent="0.45">
      <c r="A55" s="5">
        <f t="shared" si="0"/>
        <v>54</v>
      </c>
      <c r="B55" s="5"/>
      <c r="C55" s="5"/>
      <c r="D55" s="5"/>
      <c r="E55" s="5"/>
      <c r="F55" s="5"/>
      <c r="G55" s="5"/>
      <c r="H55" s="5"/>
      <c r="I55" s="5"/>
      <c r="J55" s="5"/>
      <c r="K55" s="5">
        <f t="shared" si="1"/>
        <v>0</v>
      </c>
    </row>
    <row r="56" spans="1:11" hidden="1" x14ac:dyDescent="0.45">
      <c r="A56" s="5">
        <f t="shared" si="0"/>
        <v>55</v>
      </c>
      <c r="B56" s="5"/>
      <c r="C56" s="5"/>
      <c r="D56" s="5"/>
      <c r="E56" s="5"/>
      <c r="F56" s="5"/>
      <c r="G56" s="5"/>
      <c r="H56" s="5"/>
      <c r="I56" s="5"/>
      <c r="J56" s="5"/>
      <c r="K56" s="5">
        <f t="shared" si="1"/>
        <v>0</v>
      </c>
    </row>
    <row r="57" spans="1:11" hidden="1" x14ac:dyDescent="0.45">
      <c r="A57" s="5">
        <f t="shared" si="0"/>
        <v>56</v>
      </c>
      <c r="B57" s="5"/>
      <c r="C57" s="5"/>
      <c r="D57" s="5"/>
      <c r="E57" s="5"/>
      <c r="F57" s="5"/>
      <c r="G57" s="5"/>
      <c r="H57" s="5"/>
      <c r="I57" s="5"/>
      <c r="J57" s="5"/>
      <c r="K57" s="5">
        <f t="shared" si="1"/>
        <v>0</v>
      </c>
    </row>
    <row r="58" spans="1:11" hidden="1" x14ac:dyDescent="0.45">
      <c r="A58" s="5">
        <f t="shared" si="0"/>
        <v>57</v>
      </c>
      <c r="B58" s="5"/>
      <c r="C58" s="5"/>
      <c r="D58" s="5"/>
      <c r="E58" s="5"/>
      <c r="F58" s="5"/>
      <c r="G58" s="5"/>
      <c r="H58" s="5"/>
      <c r="I58" s="5"/>
      <c r="J58" s="5"/>
      <c r="K58" s="5">
        <f t="shared" si="1"/>
        <v>0</v>
      </c>
    </row>
    <row r="59" spans="1:11" hidden="1" x14ac:dyDescent="0.45">
      <c r="A59" s="5">
        <f t="shared" si="0"/>
        <v>58</v>
      </c>
      <c r="B59" s="5"/>
      <c r="C59" s="5"/>
      <c r="D59" s="5"/>
      <c r="E59" s="5"/>
      <c r="F59" s="5"/>
      <c r="G59" s="5"/>
      <c r="H59" s="5"/>
      <c r="I59" s="5"/>
      <c r="J59" s="5"/>
      <c r="K59" s="5">
        <f t="shared" si="1"/>
        <v>0</v>
      </c>
    </row>
    <row r="60" spans="1:11" hidden="1" x14ac:dyDescent="0.45">
      <c r="A60" s="5">
        <f t="shared" si="0"/>
        <v>59</v>
      </c>
      <c r="B60" s="5"/>
      <c r="C60" s="5"/>
      <c r="D60" s="5"/>
      <c r="E60" s="5"/>
      <c r="F60" s="5"/>
      <c r="G60" s="5"/>
      <c r="H60" s="5"/>
      <c r="I60" s="5"/>
      <c r="J60" s="5"/>
      <c r="K60" s="5">
        <f t="shared" si="1"/>
        <v>0</v>
      </c>
    </row>
    <row r="61" spans="1:11" hidden="1" x14ac:dyDescent="0.45">
      <c r="A61" s="5">
        <f t="shared" si="0"/>
        <v>60</v>
      </c>
      <c r="B61" s="5"/>
      <c r="C61" s="5"/>
      <c r="D61" s="5"/>
      <c r="E61" s="5"/>
      <c r="F61" s="5"/>
      <c r="G61" s="5"/>
      <c r="H61" s="5"/>
      <c r="I61" s="5"/>
      <c r="J61" s="5"/>
      <c r="K61" s="5">
        <f t="shared" si="1"/>
        <v>0</v>
      </c>
    </row>
    <row r="62" spans="1:11" hidden="1" x14ac:dyDescent="0.45">
      <c r="A62" s="5">
        <f t="shared" si="0"/>
        <v>61</v>
      </c>
      <c r="B62" s="5"/>
      <c r="C62" s="5"/>
      <c r="D62" s="5"/>
      <c r="E62" s="5"/>
      <c r="F62" s="5"/>
      <c r="G62" s="5"/>
      <c r="H62" s="5"/>
      <c r="I62" s="5"/>
      <c r="J62" s="5"/>
      <c r="K62" s="5">
        <f t="shared" si="1"/>
        <v>0</v>
      </c>
    </row>
    <row r="63" spans="1:11" hidden="1" x14ac:dyDescent="0.45">
      <c r="A63" s="5">
        <f t="shared" si="0"/>
        <v>62</v>
      </c>
      <c r="B63" s="5"/>
      <c r="C63" s="5"/>
      <c r="D63" s="5"/>
      <c r="E63" s="5"/>
      <c r="F63" s="5"/>
      <c r="G63" s="5"/>
      <c r="H63" s="5"/>
      <c r="I63" s="5"/>
      <c r="J63" s="5"/>
      <c r="K63" s="5">
        <f t="shared" si="1"/>
        <v>0</v>
      </c>
    </row>
    <row r="64" spans="1:11" hidden="1" x14ac:dyDescent="0.45">
      <c r="A64" s="5">
        <f t="shared" si="0"/>
        <v>63</v>
      </c>
      <c r="B64" s="5"/>
      <c r="C64" s="5"/>
      <c r="D64" s="5"/>
      <c r="E64" s="5"/>
      <c r="F64" s="5"/>
      <c r="G64" s="5"/>
      <c r="H64" s="5"/>
      <c r="I64" s="5"/>
      <c r="J64" s="5"/>
      <c r="K64" s="5">
        <f t="shared" si="1"/>
        <v>0</v>
      </c>
    </row>
    <row r="65" spans="1:11" hidden="1" x14ac:dyDescent="0.45">
      <c r="A65" s="5">
        <f t="shared" si="0"/>
        <v>64</v>
      </c>
      <c r="B65" s="5"/>
      <c r="C65" s="5"/>
      <c r="D65" s="5"/>
      <c r="E65" s="5"/>
      <c r="F65" s="5"/>
      <c r="G65" s="5"/>
      <c r="H65" s="5"/>
      <c r="I65" s="5"/>
      <c r="J65" s="5"/>
      <c r="K65" s="5">
        <f t="shared" si="1"/>
        <v>0</v>
      </c>
    </row>
    <row r="66" spans="1:11" hidden="1" x14ac:dyDescent="0.45">
      <c r="A66" s="5">
        <f t="shared" ref="A66:A93" si="2">ROW(A66)-1</f>
        <v>65</v>
      </c>
      <c r="B66" s="5"/>
      <c r="C66" s="5"/>
      <c r="D66" s="5"/>
      <c r="E66" s="5"/>
      <c r="F66" s="5"/>
      <c r="G66" s="5"/>
      <c r="H66" s="5"/>
      <c r="I66" s="5"/>
      <c r="J66" s="5"/>
      <c r="K66" s="5">
        <f t="shared" si="1"/>
        <v>0</v>
      </c>
    </row>
    <row r="67" spans="1:11" hidden="1" x14ac:dyDescent="0.45">
      <c r="A67" s="5">
        <f t="shared" si="2"/>
        <v>66</v>
      </c>
      <c r="B67" s="5"/>
      <c r="C67" s="5"/>
      <c r="D67" s="5"/>
      <c r="E67" s="5"/>
      <c r="F67" s="5"/>
      <c r="G67" s="5"/>
      <c r="H67" s="5"/>
      <c r="I67" s="5"/>
      <c r="J67" s="5"/>
      <c r="K67" s="5">
        <f t="shared" ref="K67:K101" si="3">((F67)+(G67*1.5)+(H67*0.75)+(I67*0.25)+(J67*1.5))/5</f>
        <v>0</v>
      </c>
    </row>
    <row r="68" spans="1:11" hidden="1" x14ac:dyDescent="0.45">
      <c r="A68" s="5">
        <f t="shared" si="2"/>
        <v>67</v>
      </c>
      <c r="B68" s="5"/>
      <c r="C68" s="5"/>
      <c r="D68" s="5"/>
      <c r="E68" s="5"/>
      <c r="F68" s="5"/>
      <c r="G68" s="5"/>
      <c r="H68" s="5"/>
      <c r="I68" s="5"/>
      <c r="J68" s="5"/>
      <c r="K68" s="5">
        <f t="shared" si="3"/>
        <v>0</v>
      </c>
    </row>
    <row r="69" spans="1:11" hidden="1" x14ac:dyDescent="0.45">
      <c r="A69" s="5">
        <f t="shared" si="2"/>
        <v>68</v>
      </c>
      <c r="B69" s="5"/>
      <c r="C69" s="5"/>
      <c r="D69" s="5"/>
      <c r="E69" s="5"/>
      <c r="F69" s="5"/>
      <c r="G69" s="5"/>
      <c r="H69" s="5"/>
      <c r="I69" s="5"/>
      <c r="J69" s="5"/>
      <c r="K69" s="5">
        <f t="shared" si="3"/>
        <v>0</v>
      </c>
    </row>
    <row r="70" spans="1:11" hidden="1" x14ac:dyDescent="0.45">
      <c r="A70" s="5">
        <f t="shared" si="2"/>
        <v>69</v>
      </c>
      <c r="B70" s="5"/>
      <c r="C70" s="5"/>
      <c r="D70" s="5"/>
      <c r="E70" s="5"/>
      <c r="F70" s="5"/>
      <c r="G70" s="5"/>
      <c r="H70" s="5"/>
      <c r="I70" s="5"/>
      <c r="J70" s="5"/>
      <c r="K70" s="5">
        <f t="shared" si="3"/>
        <v>0</v>
      </c>
    </row>
    <row r="71" spans="1:11" hidden="1" x14ac:dyDescent="0.45">
      <c r="A71" s="5">
        <f t="shared" si="2"/>
        <v>70</v>
      </c>
      <c r="B71" s="5"/>
      <c r="C71" s="5"/>
      <c r="D71" s="5"/>
      <c r="E71" s="5"/>
      <c r="F71" s="5"/>
      <c r="G71" s="5"/>
      <c r="H71" s="5"/>
      <c r="I71" s="5"/>
      <c r="J71" s="5"/>
      <c r="K71" s="5">
        <f t="shared" si="3"/>
        <v>0</v>
      </c>
    </row>
    <row r="72" spans="1:11" hidden="1" x14ac:dyDescent="0.45">
      <c r="A72" s="5">
        <f t="shared" si="2"/>
        <v>71</v>
      </c>
      <c r="B72" s="5"/>
      <c r="C72" s="5"/>
      <c r="D72" s="5"/>
      <c r="E72" s="5"/>
      <c r="F72" s="5"/>
      <c r="G72" s="5"/>
      <c r="H72" s="5"/>
      <c r="I72" s="5"/>
      <c r="J72" s="5"/>
      <c r="K72" s="5">
        <f t="shared" si="3"/>
        <v>0</v>
      </c>
    </row>
    <row r="73" spans="1:11" hidden="1" x14ac:dyDescent="0.45">
      <c r="A73" s="5">
        <f t="shared" si="2"/>
        <v>72</v>
      </c>
      <c r="B73" s="5"/>
      <c r="C73" s="5"/>
      <c r="D73" s="5"/>
      <c r="E73" s="5"/>
      <c r="F73" s="5"/>
      <c r="G73" s="5"/>
      <c r="H73" s="5"/>
      <c r="I73" s="5"/>
      <c r="J73" s="5"/>
      <c r="K73" s="5">
        <f t="shared" si="3"/>
        <v>0</v>
      </c>
    </row>
    <row r="74" spans="1:11" hidden="1" x14ac:dyDescent="0.45">
      <c r="A74" s="5">
        <f t="shared" si="2"/>
        <v>73</v>
      </c>
      <c r="B74" s="5"/>
      <c r="C74" s="5"/>
      <c r="D74" s="5"/>
      <c r="E74" s="5"/>
      <c r="F74" s="5"/>
      <c r="G74" s="5"/>
      <c r="H74" s="5"/>
      <c r="I74" s="5"/>
      <c r="J74" s="5"/>
      <c r="K74" s="5">
        <f t="shared" si="3"/>
        <v>0</v>
      </c>
    </row>
    <row r="75" spans="1:11" hidden="1" x14ac:dyDescent="0.45">
      <c r="A75" s="5">
        <f t="shared" si="2"/>
        <v>74</v>
      </c>
      <c r="B75" s="5"/>
      <c r="C75" s="5"/>
      <c r="D75" s="5"/>
      <c r="E75" s="5"/>
      <c r="F75" s="5"/>
      <c r="G75" s="5"/>
      <c r="H75" s="5"/>
      <c r="I75" s="5"/>
      <c r="J75" s="5"/>
      <c r="K75" s="5">
        <f t="shared" si="3"/>
        <v>0</v>
      </c>
    </row>
    <row r="76" spans="1:11" hidden="1" x14ac:dyDescent="0.45">
      <c r="A76" s="5">
        <f t="shared" si="2"/>
        <v>75</v>
      </c>
      <c r="B76" s="5"/>
      <c r="C76" s="5"/>
      <c r="D76" s="5"/>
      <c r="E76" s="5"/>
      <c r="F76" s="5"/>
      <c r="G76" s="5"/>
      <c r="H76" s="5"/>
      <c r="I76" s="5"/>
      <c r="J76" s="5"/>
      <c r="K76" s="5">
        <f t="shared" si="3"/>
        <v>0</v>
      </c>
    </row>
    <row r="77" spans="1:11" hidden="1" x14ac:dyDescent="0.45">
      <c r="A77" s="5">
        <f t="shared" si="2"/>
        <v>76</v>
      </c>
      <c r="B77" s="5"/>
      <c r="C77" s="5"/>
      <c r="D77" s="5"/>
      <c r="E77" s="5"/>
      <c r="F77" s="5"/>
      <c r="G77" s="5"/>
      <c r="H77" s="5"/>
      <c r="I77" s="5"/>
      <c r="J77" s="5"/>
      <c r="K77" s="5">
        <f t="shared" si="3"/>
        <v>0</v>
      </c>
    </row>
    <row r="78" spans="1:11" hidden="1" x14ac:dyDescent="0.45">
      <c r="A78" s="5">
        <f t="shared" si="2"/>
        <v>77</v>
      </c>
      <c r="B78" s="5"/>
      <c r="C78" s="5"/>
      <c r="D78" s="5"/>
      <c r="E78" s="5"/>
      <c r="F78" s="5"/>
      <c r="G78" s="5"/>
      <c r="H78" s="5"/>
      <c r="I78" s="5"/>
      <c r="J78" s="5"/>
      <c r="K78" s="5">
        <f t="shared" si="3"/>
        <v>0</v>
      </c>
    </row>
    <row r="79" spans="1:11" hidden="1" x14ac:dyDescent="0.45">
      <c r="A79" s="5">
        <f t="shared" si="2"/>
        <v>78</v>
      </c>
      <c r="B79" s="5"/>
      <c r="C79" s="5"/>
      <c r="D79" s="5"/>
      <c r="E79" s="5"/>
      <c r="F79" s="5"/>
      <c r="G79" s="5"/>
      <c r="H79" s="5"/>
      <c r="I79" s="5"/>
      <c r="J79" s="5"/>
      <c r="K79" s="5">
        <f t="shared" si="3"/>
        <v>0</v>
      </c>
    </row>
    <row r="80" spans="1:11" hidden="1" x14ac:dyDescent="0.45">
      <c r="A80" s="5">
        <f t="shared" si="2"/>
        <v>79</v>
      </c>
      <c r="B80" s="5"/>
      <c r="C80" s="5"/>
      <c r="D80" s="5"/>
      <c r="E80" s="5"/>
      <c r="F80" s="5"/>
      <c r="G80" s="5"/>
      <c r="H80" s="5"/>
      <c r="I80" s="5"/>
      <c r="J80" s="5"/>
      <c r="K80" s="5">
        <f t="shared" si="3"/>
        <v>0</v>
      </c>
    </row>
    <row r="81" spans="1:11" hidden="1" x14ac:dyDescent="0.45">
      <c r="A81" s="5">
        <f t="shared" si="2"/>
        <v>80</v>
      </c>
      <c r="B81" s="5"/>
      <c r="C81" s="5"/>
      <c r="D81" s="5"/>
      <c r="E81" s="5"/>
      <c r="F81" s="5"/>
      <c r="G81" s="5"/>
      <c r="H81" s="5"/>
      <c r="I81" s="5"/>
      <c r="J81" s="5"/>
      <c r="K81" s="5">
        <f t="shared" si="3"/>
        <v>0</v>
      </c>
    </row>
    <row r="82" spans="1:11" hidden="1" x14ac:dyDescent="0.45">
      <c r="A82" s="5">
        <f t="shared" si="2"/>
        <v>81</v>
      </c>
      <c r="B82" s="5"/>
      <c r="C82" s="5"/>
      <c r="D82" s="5"/>
      <c r="E82" s="5"/>
      <c r="F82" s="5"/>
      <c r="G82" s="5"/>
      <c r="H82" s="5"/>
      <c r="I82" s="5"/>
      <c r="J82" s="5"/>
      <c r="K82" s="5">
        <f t="shared" si="3"/>
        <v>0</v>
      </c>
    </row>
    <row r="83" spans="1:11" hidden="1" x14ac:dyDescent="0.45">
      <c r="A83" s="5">
        <f t="shared" si="2"/>
        <v>82</v>
      </c>
      <c r="B83" s="5"/>
      <c r="C83" s="5"/>
      <c r="D83" s="5"/>
      <c r="E83" s="5"/>
      <c r="F83" s="5"/>
      <c r="G83" s="5"/>
      <c r="H83" s="5"/>
      <c r="I83" s="5"/>
      <c r="J83" s="5"/>
      <c r="K83" s="5">
        <f t="shared" si="3"/>
        <v>0</v>
      </c>
    </row>
    <row r="84" spans="1:11" hidden="1" x14ac:dyDescent="0.45">
      <c r="A84" s="5">
        <f t="shared" si="2"/>
        <v>83</v>
      </c>
      <c r="B84" s="5"/>
      <c r="C84" s="5"/>
      <c r="D84" s="5"/>
      <c r="E84" s="5"/>
      <c r="F84" s="5"/>
      <c r="G84" s="5"/>
      <c r="H84" s="5"/>
      <c r="I84" s="5"/>
      <c r="J84" s="5"/>
      <c r="K84" s="5">
        <f t="shared" si="3"/>
        <v>0</v>
      </c>
    </row>
    <row r="85" spans="1:11" hidden="1" x14ac:dyDescent="0.45">
      <c r="A85" s="5">
        <f t="shared" si="2"/>
        <v>84</v>
      </c>
      <c r="B85" s="5"/>
      <c r="C85" s="5"/>
      <c r="D85" s="5"/>
      <c r="E85" s="5"/>
      <c r="F85" s="5"/>
      <c r="G85" s="5"/>
      <c r="H85" s="5"/>
      <c r="I85" s="5"/>
      <c r="J85" s="5"/>
      <c r="K85" s="5">
        <f t="shared" si="3"/>
        <v>0</v>
      </c>
    </row>
    <row r="86" spans="1:11" hidden="1" x14ac:dyDescent="0.45">
      <c r="A86" s="5">
        <f t="shared" si="2"/>
        <v>85</v>
      </c>
      <c r="B86" s="5"/>
      <c r="C86" s="5"/>
      <c r="D86" s="5"/>
      <c r="E86" s="5"/>
      <c r="F86" s="5"/>
      <c r="G86" s="5"/>
      <c r="H86" s="5"/>
      <c r="I86" s="5"/>
      <c r="J86" s="5"/>
      <c r="K86" s="5">
        <f t="shared" si="3"/>
        <v>0</v>
      </c>
    </row>
    <row r="87" spans="1:11" hidden="1" x14ac:dyDescent="0.45">
      <c r="A87" s="5">
        <f t="shared" si="2"/>
        <v>86</v>
      </c>
      <c r="B87" s="5"/>
      <c r="C87" s="5"/>
      <c r="D87" s="5"/>
      <c r="E87" s="5"/>
      <c r="F87" s="5"/>
      <c r="G87" s="5"/>
      <c r="H87" s="5"/>
      <c r="I87" s="5"/>
      <c r="J87" s="5"/>
      <c r="K87" s="5">
        <f t="shared" si="3"/>
        <v>0</v>
      </c>
    </row>
    <row r="88" spans="1:11" hidden="1" x14ac:dyDescent="0.45">
      <c r="A88" s="5">
        <f t="shared" si="2"/>
        <v>87</v>
      </c>
      <c r="B88" s="5"/>
      <c r="C88" s="5"/>
      <c r="D88" s="5"/>
      <c r="E88" s="5"/>
      <c r="F88" s="5"/>
      <c r="G88" s="5"/>
      <c r="H88" s="5"/>
      <c r="I88" s="5"/>
      <c r="J88" s="5"/>
      <c r="K88" s="5">
        <f t="shared" si="3"/>
        <v>0</v>
      </c>
    </row>
    <row r="89" spans="1:11" hidden="1" x14ac:dyDescent="0.45">
      <c r="A89" s="5">
        <f t="shared" si="2"/>
        <v>88</v>
      </c>
      <c r="B89" s="5"/>
      <c r="C89" s="5"/>
      <c r="D89" s="5"/>
      <c r="E89" s="5"/>
      <c r="F89" s="5"/>
      <c r="G89" s="5"/>
      <c r="H89" s="5"/>
      <c r="I89" s="5"/>
      <c r="J89" s="5"/>
      <c r="K89" s="5">
        <f t="shared" si="3"/>
        <v>0</v>
      </c>
    </row>
    <row r="90" spans="1:11" hidden="1" x14ac:dyDescent="0.45">
      <c r="A90" s="5">
        <f t="shared" si="2"/>
        <v>89</v>
      </c>
      <c r="B90" s="5"/>
      <c r="C90" s="5"/>
      <c r="D90" s="5"/>
      <c r="E90" s="5"/>
      <c r="F90" s="5"/>
      <c r="G90" s="5"/>
      <c r="H90" s="5"/>
      <c r="I90" s="5"/>
      <c r="J90" s="5"/>
      <c r="K90" s="5">
        <f t="shared" si="3"/>
        <v>0</v>
      </c>
    </row>
    <row r="91" spans="1:11" hidden="1" x14ac:dyDescent="0.45">
      <c r="A91" s="5">
        <f t="shared" si="2"/>
        <v>90</v>
      </c>
      <c r="B91" s="5"/>
      <c r="C91" s="5"/>
      <c r="D91" s="5"/>
      <c r="E91" s="5"/>
      <c r="F91" s="5"/>
      <c r="G91" s="5"/>
      <c r="H91" s="5"/>
      <c r="I91" s="5"/>
      <c r="J91" s="5"/>
      <c r="K91" s="5">
        <f t="shared" si="3"/>
        <v>0</v>
      </c>
    </row>
    <row r="92" spans="1:11" hidden="1" x14ac:dyDescent="0.45">
      <c r="A92" s="5">
        <f t="shared" si="2"/>
        <v>91</v>
      </c>
      <c r="B92" s="5"/>
      <c r="C92" s="5"/>
      <c r="D92" s="5"/>
      <c r="E92" s="5"/>
      <c r="F92" s="5"/>
      <c r="G92" s="5"/>
      <c r="H92" s="5"/>
      <c r="I92" s="5"/>
      <c r="J92" s="5"/>
      <c r="K92" s="5">
        <f t="shared" si="3"/>
        <v>0</v>
      </c>
    </row>
    <row r="93" spans="1:11" hidden="1" x14ac:dyDescent="0.45">
      <c r="A93" s="5">
        <f t="shared" si="2"/>
        <v>92</v>
      </c>
      <c r="B93" s="5"/>
      <c r="C93" s="5"/>
      <c r="D93" s="5"/>
      <c r="E93" s="5"/>
      <c r="F93" s="5"/>
      <c r="G93" s="5"/>
      <c r="H93" s="5"/>
      <c r="I93" s="5"/>
      <c r="J93" s="5"/>
      <c r="K93" s="5">
        <f t="shared" si="3"/>
        <v>0</v>
      </c>
    </row>
    <row r="94" spans="1:11" hidden="1" x14ac:dyDescent="0.45">
      <c r="A94" s="5">
        <v>93</v>
      </c>
      <c r="B94" s="5"/>
      <c r="C94" s="5"/>
      <c r="D94" s="5"/>
      <c r="E94" s="5"/>
      <c r="F94" s="5"/>
      <c r="G94" s="5"/>
      <c r="H94" s="5"/>
      <c r="I94" s="5"/>
      <c r="J94" s="5"/>
      <c r="K94" s="5">
        <f t="shared" si="3"/>
        <v>0</v>
      </c>
    </row>
    <row r="95" spans="1:11" hidden="1" x14ac:dyDescent="0.45">
      <c r="A95" s="5">
        <v>94</v>
      </c>
      <c r="B95" s="5"/>
      <c r="C95" s="5"/>
      <c r="D95" s="5"/>
      <c r="E95" s="5"/>
      <c r="F95" s="5"/>
      <c r="G95" s="5"/>
      <c r="H95" s="5"/>
      <c r="I95" s="5"/>
      <c r="J95" s="5"/>
      <c r="K95" s="5">
        <f t="shared" si="3"/>
        <v>0</v>
      </c>
    </row>
    <row r="96" spans="1:11" hidden="1" x14ac:dyDescent="0.45">
      <c r="A96" s="5">
        <v>95</v>
      </c>
      <c r="B96" s="5"/>
      <c r="C96" s="5"/>
      <c r="D96" s="5"/>
      <c r="E96" s="5"/>
      <c r="F96" s="5"/>
      <c r="G96" s="5"/>
      <c r="H96" s="5"/>
      <c r="I96" s="5"/>
      <c r="J96" s="5"/>
      <c r="K96" s="5">
        <f t="shared" si="3"/>
        <v>0</v>
      </c>
    </row>
    <row r="97" spans="1:11" hidden="1" x14ac:dyDescent="0.45">
      <c r="A97" s="5">
        <v>96</v>
      </c>
      <c r="B97" s="5"/>
      <c r="C97" s="5"/>
      <c r="D97" s="5"/>
      <c r="E97" s="5"/>
      <c r="F97" s="5"/>
      <c r="G97" s="5"/>
      <c r="H97" s="5"/>
      <c r="I97" s="5"/>
      <c r="J97" s="5"/>
      <c r="K97" s="5">
        <f t="shared" si="3"/>
        <v>0</v>
      </c>
    </row>
    <row r="98" spans="1:11" hidden="1" x14ac:dyDescent="0.45">
      <c r="A98" s="5">
        <v>97</v>
      </c>
      <c r="B98" s="5"/>
      <c r="C98" s="5"/>
      <c r="D98" s="5"/>
      <c r="E98" s="5"/>
      <c r="F98" s="5"/>
      <c r="G98" s="5"/>
      <c r="H98" s="5"/>
      <c r="I98" s="5"/>
      <c r="J98" s="5"/>
      <c r="K98" s="5">
        <f t="shared" si="3"/>
        <v>0</v>
      </c>
    </row>
    <row r="99" spans="1:11" hidden="1" x14ac:dyDescent="0.45">
      <c r="A99" s="5">
        <v>98</v>
      </c>
      <c r="B99" s="5"/>
      <c r="C99" s="5"/>
      <c r="D99" s="5"/>
      <c r="E99" s="5"/>
      <c r="F99" s="5"/>
      <c r="G99" s="5"/>
      <c r="H99" s="5"/>
      <c r="I99" s="5"/>
      <c r="J99" s="5"/>
      <c r="K99" s="5">
        <f t="shared" si="3"/>
        <v>0</v>
      </c>
    </row>
    <row r="100" spans="1:11" hidden="1" x14ac:dyDescent="0.45">
      <c r="A100" s="5">
        <v>99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f t="shared" si="3"/>
        <v>0</v>
      </c>
    </row>
    <row r="101" spans="1:11" hidden="1" x14ac:dyDescent="0.45">
      <c r="A101" s="5">
        <v>100</v>
      </c>
      <c r="B101" s="5"/>
      <c r="C101" s="5"/>
      <c r="D101" s="5"/>
      <c r="E101" s="5"/>
      <c r="F101" s="5"/>
      <c r="G101" s="5"/>
      <c r="H101" s="5"/>
      <c r="I101" s="5"/>
      <c r="J101" s="5"/>
      <c r="K101" s="5">
        <f t="shared" si="3"/>
        <v>0</v>
      </c>
    </row>
    <row r="102" spans="1:11" hidden="1" x14ac:dyDescent="0.45">
      <c r="A102" s="8">
        <v>101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idden="1" x14ac:dyDescent="0.45">
      <c r="A103" s="8">
        <v>102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idden="1" x14ac:dyDescent="0.45">
      <c r="A104" s="8">
        <v>103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idden="1" x14ac:dyDescent="0.45">
      <c r="A105" s="8">
        <v>104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idden="1" x14ac:dyDescent="0.45">
      <c r="A106" s="8">
        <v>105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idden="1" x14ac:dyDescent="0.45">
      <c r="A107" s="8">
        <v>106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idden="1" x14ac:dyDescent="0.45">
      <c r="A108" s="8">
        <v>107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idden="1" x14ac:dyDescent="0.45">
      <c r="A109" s="8">
        <v>108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</row>
  </sheetData>
  <autoFilter ref="A1:K109" xr:uid="{00000000-0001-0000-0200-000000000000}">
    <filterColumn colId="3">
      <filters>
        <filter val="3"/>
      </filters>
    </filterColumn>
    <sortState xmlns:xlrd2="http://schemas.microsoft.com/office/spreadsheetml/2017/richdata2" ref="A6:K9">
      <sortCondition descending="1" ref="K1:K109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مرجع!$AC$2:$AC$5</xm:f>
          </x14:formula1>
          <xm:sqref>D2:D13 D18:D29 D51:D80</xm:sqref>
        </x14:dataValidation>
        <x14:dataValidation type="list" allowBlank="1" showInputMessage="1" showErrorMessage="1" xr:uid="{00000000-0002-0000-0200-000001000000}">
          <x14:formula1>
            <xm:f>مرجع!$F$2:$F$13</xm:f>
          </x14:formula1>
          <xm:sqref>C51:C80 C18:C29 C2:C13</xm:sqref>
        </x14:dataValidation>
        <x14:dataValidation type="list" allowBlank="1" showInputMessage="1" showErrorMessage="1" xr:uid="{00000000-0002-0000-0200-000002000000}">
          <x14:formula1>
            <xm:f>مرجع!$C$2:$C$5</xm:f>
          </x14:formula1>
          <xm:sqref>B51:B80 B18:B29 B2:B13</xm:sqref>
        </x14:dataValidation>
        <x14:dataValidation type="list" allowBlank="1" showInputMessage="1" showErrorMessage="1" xr:uid="{F581330A-1E00-4850-8A6B-65BA8DFC2909}">
          <x14:formula1>
            <xm:f>مرجع!$L$2:$L$5</xm:f>
          </x14:formula1>
          <xm:sqref>E10:E1048576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6"/>
  <sheetViews>
    <sheetView rightToLeft="1" topLeftCell="B1" zoomScale="110" zoomScaleNormal="110" workbookViewId="0">
      <pane ySplit="1" topLeftCell="A2" activePane="bottomLeft" state="frozen"/>
      <selection activeCell="B1" sqref="B1"/>
      <selection pane="bottomLeft" activeCell="H9" sqref="H9"/>
    </sheetView>
  </sheetViews>
  <sheetFormatPr defaultRowHeight="14.25" x14ac:dyDescent="0.45"/>
  <cols>
    <col min="1" max="4" width="9.1328125" style="8"/>
    <col min="5" max="5" width="19.59765625" style="8" customWidth="1"/>
    <col min="6" max="6" width="17.1328125" style="8" bestFit="1" customWidth="1"/>
    <col min="7" max="7" width="12.59765625" style="8" customWidth="1"/>
    <col min="8" max="8" width="10.86328125" style="8" customWidth="1"/>
    <col min="9" max="9" width="25.59765625" style="8" customWidth="1"/>
    <col min="10" max="10" width="15" style="8" bestFit="1" customWidth="1"/>
    <col min="11" max="11" width="9.1328125" style="8"/>
  </cols>
  <sheetData>
    <row r="1" spans="1:11" ht="21.4" x14ac:dyDescent="1">
      <c r="A1" s="9" t="s">
        <v>605</v>
      </c>
      <c r="B1" s="9" t="s">
        <v>606</v>
      </c>
      <c r="C1" s="9" t="s">
        <v>607</v>
      </c>
      <c r="D1" s="9" t="s">
        <v>608</v>
      </c>
      <c r="E1" s="9" t="s">
        <v>609</v>
      </c>
      <c r="F1" s="9" t="s">
        <v>610</v>
      </c>
      <c r="G1" s="9" t="s">
        <v>611</v>
      </c>
      <c r="H1" s="9" t="s">
        <v>612</v>
      </c>
      <c r="I1" s="32" t="s">
        <v>613</v>
      </c>
      <c r="J1" s="9" t="s">
        <v>615</v>
      </c>
      <c r="K1" s="9" t="s">
        <v>614</v>
      </c>
    </row>
    <row r="2" spans="1:11" x14ac:dyDescent="0.45">
      <c r="A2" s="5">
        <f>ROW(A2)-1</f>
        <v>1</v>
      </c>
      <c r="B2" s="5">
        <v>1405</v>
      </c>
      <c r="C2" s="5" t="s">
        <v>46</v>
      </c>
      <c r="D2" s="5">
        <v>2</v>
      </c>
      <c r="E2" s="5" t="s">
        <v>21</v>
      </c>
      <c r="F2" s="5">
        <v>4.84</v>
      </c>
      <c r="G2" s="5">
        <v>1.8</v>
      </c>
      <c r="H2" s="5">
        <v>2.62</v>
      </c>
      <c r="I2" s="5">
        <v>3.5</v>
      </c>
      <c r="J2" s="5">
        <v>3</v>
      </c>
      <c r="K2" s="5">
        <f>((F2*1.25)+(G2*1.5)+(H2*0.5)+(I2*0.25)+(J2*1.5))/5</f>
        <v>3.0870000000000002</v>
      </c>
    </row>
    <row r="3" spans="1:11" x14ac:dyDescent="0.45">
      <c r="A3" s="5">
        <f t="shared" ref="A3:A63" si="0">ROW(A3)-1</f>
        <v>2</v>
      </c>
      <c r="B3" s="5">
        <v>1405</v>
      </c>
      <c r="C3" s="5" t="s">
        <v>46</v>
      </c>
      <c r="D3" s="5">
        <v>2</v>
      </c>
      <c r="E3" s="5" t="s">
        <v>591</v>
      </c>
      <c r="F3" s="5">
        <v>5</v>
      </c>
      <c r="G3" s="5">
        <v>1.98</v>
      </c>
      <c r="H3" s="5">
        <v>3.75</v>
      </c>
      <c r="I3" s="5">
        <v>5</v>
      </c>
      <c r="J3" s="5">
        <v>3</v>
      </c>
      <c r="K3" s="5">
        <f t="shared" ref="K3:K66" si="1">((F3*1.25)+(G3*1.5)+(H3*0.5)+(I3*0.25)+(J3*1.5))/5</f>
        <v>3.3689999999999998</v>
      </c>
    </row>
    <row r="4" spans="1:11" x14ac:dyDescent="0.45">
      <c r="A4" s="5">
        <f t="shared" si="0"/>
        <v>3</v>
      </c>
      <c r="B4" s="5">
        <v>1405</v>
      </c>
      <c r="C4" s="5" t="s">
        <v>46</v>
      </c>
      <c r="D4" s="5">
        <v>2</v>
      </c>
      <c r="E4" s="5" t="s">
        <v>592</v>
      </c>
      <c r="F4" s="5">
        <v>4.76</v>
      </c>
      <c r="G4" s="5">
        <v>1.63</v>
      </c>
      <c r="H4" s="5">
        <v>4</v>
      </c>
      <c r="I4" s="5">
        <v>2.25</v>
      </c>
      <c r="J4" s="5">
        <v>2.9</v>
      </c>
      <c r="K4" s="5">
        <f t="shared" si="1"/>
        <v>3.0614999999999997</v>
      </c>
    </row>
    <row r="5" spans="1:11" x14ac:dyDescent="0.45">
      <c r="A5" s="5">
        <f t="shared" si="0"/>
        <v>4</v>
      </c>
      <c r="B5" s="5">
        <v>1405</v>
      </c>
      <c r="C5" s="5" t="s">
        <v>46</v>
      </c>
      <c r="D5" s="5">
        <v>2</v>
      </c>
      <c r="E5" s="5" t="s">
        <v>593</v>
      </c>
      <c r="F5" s="5">
        <v>4.07</v>
      </c>
      <c r="G5" s="5">
        <v>1.53</v>
      </c>
      <c r="H5" s="5">
        <v>3.12</v>
      </c>
      <c r="I5" s="5">
        <v>4.75</v>
      </c>
      <c r="J5" s="5">
        <v>3</v>
      </c>
      <c r="K5" s="5">
        <f t="shared" si="1"/>
        <v>2.9260000000000002</v>
      </c>
    </row>
    <row r="6" spans="1:11" x14ac:dyDescent="0.45">
      <c r="A6" s="5">
        <f>ROW(A6)-1</f>
        <v>5</v>
      </c>
      <c r="B6" s="5">
        <v>1405</v>
      </c>
      <c r="C6" s="5" t="s">
        <v>46</v>
      </c>
      <c r="D6" s="5">
        <v>3</v>
      </c>
      <c r="E6" s="5" t="s">
        <v>592</v>
      </c>
      <c r="F6" s="5">
        <v>4.4615384615384617</v>
      </c>
      <c r="G6" s="5">
        <v>1.92</v>
      </c>
      <c r="H6" s="5">
        <v>4</v>
      </c>
      <c r="I6" s="5">
        <v>3.75</v>
      </c>
      <c r="J6" s="5">
        <v>3</v>
      </c>
      <c r="K6" s="5">
        <f>((F6*1.25)+(G6*1.5)+(H6*0.5)+(I6*0.25)+(J6*1.5))/5</f>
        <v>3.1788846153846153</v>
      </c>
    </row>
    <row r="7" spans="1:11" x14ac:dyDescent="0.45">
      <c r="A7" s="5">
        <f>ROW(A7)-1</f>
        <v>6</v>
      </c>
      <c r="B7" s="5">
        <v>1405</v>
      </c>
      <c r="C7" s="5" t="s">
        <v>46</v>
      </c>
      <c r="D7" s="5">
        <v>3</v>
      </c>
      <c r="E7" s="5" t="s">
        <v>591</v>
      </c>
      <c r="F7" s="5">
        <v>4.3076923076923075</v>
      </c>
      <c r="G7" s="5">
        <v>1.95</v>
      </c>
      <c r="H7" s="5">
        <v>3.75</v>
      </c>
      <c r="I7" s="5">
        <v>3.75</v>
      </c>
      <c r="J7" s="5">
        <v>3</v>
      </c>
      <c r="K7" s="5">
        <f>((F7*1.25)+(G7*1.5)+(H7*0.5)+(I7*0.25)+(J7*1.5))/5</f>
        <v>3.124423076923077</v>
      </c>
    </row>
    <row r="8" spans="1:11" x14ac:dyDescent="0.45">
      <c r="A8" s="5">
        <f>ROW(A8)-1</f>
        <v>7</v>
      </c>
      <c r="B8" s="5">
        <v>1405</v>
      </c>
      <c r="C8" s="5" t="s">
        <v>46</v>
      </c>
      <c r="D8" s="5">
        <v>3</v>
      </c>
      <c r="E8" s="5" t="s">
        <v>21</v>
      </c>
      <c r="F8" s="5">
        <v>4.3076923076923075</v>
      </c>
      <c r="G8" s="5">
        <v>1.77</v>
      </c>
      <c r="H8" s="5">
        <v>3.5</v>
      </c>
      <c r="I8" s="5">
        <v>3.5</v>
      </c>
      <c r="J8" s="5">
        <v>3</v>
      </c>
      <c r="K8" s="5">
        <f>((F8*1.25)+(G8*1.5)+(H8*0.5)+(I8*0.25)+(J8*1.5))/5</f>
        <v>3.0329230769230771</v>
      </c>
    </row>
    <row r="9" spans="1:11" x14ac:dyDescent="0.45">
      <c r="A9" s="5">
        <f>ROW(A9)-1</f>
        <v>8</v>
      </c>
      <c r="B9" s="5">
        <v>1405</v>
      </c>
      <c r="C9" s="5" t="s">
        <v>46</v>
      </c>
      <c r="D9" s="5">
        <v>3</v>
      </c>
      <c r="E9" s="5" t="s">
        <v>593</v>
      </c>
      <c r="F9" s="5">
        <v>3.7692307692307692</v>
      </c>
      <c r="G9" s="5">
        <v>1.52</v>
      </c>
      <c r="H9" s="5">
        <v>3.12</v>
      </c>
      <c r="I9" s="5">
        <v>4</v>
      </c>
      <c r="J9" s="5">
        <v>3</v>
      </c>
      <c r="K9" s="5">
        <f>((F9*1.25)+(G9*1.5)+(H9*0.5)+(I9*0.25)+(J9*1.5))/5</f>
        <v>2.8103076923076924</v>
      </c>
    </row>
    <row r="10" spans="1:11" x14ac:dyDescent="0.45">
      <c r="A10" s="5">
        <f t="shared" si="0"/>
        <v>9</v>
      </c>
      <c r="B10" s="5"/>
      <c r="C10" s="5"/>
      <c r="D10" s="5"/>
      <c r="E10" s="5"/>
      <c r="F10" s="5"/>
      <c r="G10" s="5"/>
      <c r="H10" s="5"/>
      <c r="I10" s="5"/>
      <c r="J10" s="5"/>
      <c r="K10" s="5">
        <f t="shared" si="1"/>
        <v>0</v>
      </c>
    </row>
    <row r="11" spans="1:11" x14ac:dyDescent="0.45">
      <c r="A11" s="5">
        <f t="shared" si="0"/>
        <v>10</v>
      </c>
      <c r="B11" s="5"/>
      <c r="C11" s="5"/>
      <c r="D11" s="5"/>
      <c r="E11" s="5"/>
      <c r="F11" s="5"/>
      <c r="G11" s="5"/>
      <c r="H11" s="5"/>
      <c r="I11" s="5"/>
      <c r="J11" s="5"/>
      <c r="K11" s="5">
        <f t="shared" si="1"/>
        <v>0</v>
      </c>
    </row>
    <row r="12" spans="1:11" x14ac:dyDescent="0.45">
      <c r="A12" s="5">
        <f t="shared" si="0"/>
        <v>11</v>
      </c>
      <c r="B12" s="5"/>
      <c r="C12" s="5"/>
      <c r="D12" s="5"/>
      <c r="E12" s="5"/>
      <c r="F12" s="5"/>
      <c r="G12" s="5"/>
      <c r="H12" s="5"/>
      <c r="I12" s="5"/>
      <c r="J12" s="5"/>
      <c r="K12" s="5">
        <f t="shared" si="1"/>
        <v>0</v>
      </c>
    </row>
    <row r="13" spans="1:11" x14ac:dyDescent="0.45">
      <c r="A13" s="5">
        <f t="shared" si="0"/>
        <v>12</v>
      </c>
      <c r="B13" s="5"/>
      <c r="C13" s="5"/>
      <c r="D13" s="5"/>
      <c r="E13" s="5"/>
      <c r="F13" s="5"/>
      <c r="G13" s="5"/>
      <c r="H13" s="5"/>
      <c r="I13" s="5"/>
      <c r="J13" s="5"/>
      <c r="K13" s="5">
        <f t="shared" si="1"/>
        <v>0</v>
      </c>
    </row>
    <row r="14" spans="1:11" x14ac:dyDescent="0.45">
      <c r="A14" s="5">
        <f t="shared" si="0"/>
        <v>13</v>
      </c>
      <c r="B14" s="5"/>
      <c r="C14" s="5"/>
      <c r="D14" s="5"/>
      <c r="E14" s="5"/>
      <c r="F14" s="5"/>
      <c r="G14" s="5"/>
      <c r="H14" s="5"/>
      <c r="I14" s="5"/>
      <c r="J14" s="5"/>
      <c r="K14" s="5">
        <f t="shared" si="1"/>
        <v>0</v>
      </c>
    </row>
    <row r="15" spans="1:11" x14ac:dyDescent="0.45">
      <c r="A15" s="5">
        <f t="shared" si="0"/>
        <v>14</v>
      </c>
      <c r="B15" s="5"/>
      <c r="C15" s="5"/>
      <c r="D15" s="5"/>
      <c r="E15" s="5"/>
      <c r="F15" s="5"/>
      <c r="G15" s="5"/>
      <c r="H15" s="5"/>
      <c r="I15" s="5"/>
      <c r="J15" s="5"/>
      <c r="K15" s="5">
        <f t="shared" si="1"/>
        <v>0</v>
      </c>
    </row>
    <row r="16" spans="1:11" x14ac:dyDescent="0.45">
      <c r="A16" s="5">
        <f t="shared" si="0"/>
        <v>15</v>
      </c>
      <c r="B16" s="5"/>
      <c r="C16" s="5"/>
      <c r="D16" s="5"/>
      <c r="E16" s="5"/>
      <c r="F16" s="5"/>
      <c r="G16" s="5"/>
      <c r="H16" s="5"/>
      <c r="I16" s="5"/>
      <c r="J16" s="5"/>
      <c r="K16" s="5">
        <f t="shared" si="1"/>
        <v>0</v>
      </c>
    </row>
    <row r="17" spans="1:11" x14ac:dyDescent="0.45">
      <c r="A17" s="5">
        <f t="shared" si="0"/>
        <v>16</v>
      </c>
      <c r="B17" s="5"/>
      <c r="C17" s="5"/>
      <c r="D17" s="5"/>
      <c r="E17" s="5"/>
      <c r="F17" s="5"/>
      <c r="G17" s="5"/>
      <c r="H17" s="5"/>
      <c r="I17" s="5"/>
      <c r="J17" s="5"/>
      <c r="K17" s="5">
        <f t="shared" si="1"/>
        <v>0</v>
      </c>
    </row>
    <row r="18" spans="1:11" x14ac:dyDescent="0.45">
      <c r="A18" s="5">
        <f t="shared" si="0"/>
        <v>17</v>
      </c>
      <c r="B18" s="5"/>
      <c r="C18" s="5"/>
      <c r="D18" s="5"/>
      <c r="E18" s="5"/>
      <c r="F18" s="5"/>
      <c r="G18" s="5"/>
      <c r="H18" s="5"/>
      <c r="I18" s="5"/>
      <c r="J18" s="5"/>
      <c r="K18" s="5">
        <f t="shared" si="1"/>
        <v>0</v>
      </c>
    </row>
    <row r="19" spans="1:11" x14ac:dyDescent="0.45">
      <c r="A19" s="5">
        <f t="shared" si="0"/>
        <v>18</v>
      </c>
      <c r="B19" s="5"/>
      <c r="C19" s="5"/>
      <c r="D19" s="5"/>
      <c r="E19" s="5"/>
      <c r="F19" s="5"/>
      <c r="G19" s="5"/>
      <c r="H19" s="5"/>
      <c r="I19" s="5"/>
      <c r="J19" s="5"/>
      <c r="K19" s="5">
        <f t="shared" si="1"/>
        <v>0</v>
      </c>
    </row>
    <row r="20" spans="1:11" x14ac:dyDescent="0.45">
      <c r="A20" s="5">
        <f t="shared" si="0"/>
        <v>19</v>
      </c>
      <c r="B20" s="5"/>
      <c r="C20" s="5"/>
      <c r="D20" s="5"/>
      <c r="E20" s="5"/>
      <c r="F20" s="5"/>
      <c r="G20" s="5"/>
      <c r="H20" s="5"/>
      <c r="I20" s="5"/>
      <c r="J20" s="5"/>
      <c r="K20" s="5">
        <f t="shared" si="1"/>
        <v>0</v>
      </c>
    </row>
    <row r="21" spans="1:11" x14ac:dyDescent="0.45">
      <c r="A21" s="5">
        <f t="shared" si="0"/>
        <v>20</v>
      </c>
      <c r="B21" s="5"/>
      <c r="C21" s="5"/>
      <c r="D21" s="5"/>
      <c r="E21" s="5"/>
      <c r="F21" s="5"/>
      <c r="G21" s="5"/>
      <c r="H21" s="5"/>
      <c r="I21" s="5"/>
      <c r="J21" s="5"/>
      <c r="K21" s="5">
        <f t="shared" si="1"/>
        <v>0</v>
      </c>
    </row>
    <row r="22" spans="1:11" x14ac:dyDescent="0.45">
      <c r="A22" s="5">
        <f t="shared" si="0"/>
        <v>21</v>
      </c>
      <c r="B22" s="5"/>
      <c r="C22" s="5"/>
      <c r="D22" s="5"/>
      <c r="E22" s="5"/>
      <c r="F22" s="5"/>
      <c r="G22" s="5"/>
      <c r="H22" s="5"/>
      <c r="I22" s="5"/>
      <c r="J22" s="5"/>
      <c r="K22" s="5">
        <f t="shared" si="1"/>
        <v>0</v>
      </c>
    </row>
    <row r="23" spans="1:11" x14ac:dyDescent="0.45">
      <c r="A23" s="5">
        <f t="shared" si="0"/>
        <v>22</v>
      </c>
      <c r="B23" s="5"/>
      <c r="C23" s="5"/>
      <c r="D23" s="5"/>
      <c r="E23" s="5"/>
      <c r="F23" s="5"/>
      <c r="G23" s="5"/>
      <c r="H23" s="5"/>
      <c r="I23" s="5"/>
      <c r="J23" s="5"/>
      <c r="K23" s="5">
        <f t="shared" si="1"/>
        <v>0</v>
      </c>
    </row>
    <row r="24" spans="1:11" x14ac:dyDescent="0.45">
      <c r="A24" s="5">
        <f t="shared" si="0"/>
        <v>23</v>
      </c>
      <c r="B24" s="5"/>
      <c r="C24" s="5"/>
      <c r="D24" s="5"/>
      <c r="E24" s="5"/>
      <c r="F24" s="5"/>
      <c r="G24" s="5"/>
      <c r="H24" s="5"/>
      <c r="I24" s="5"/>
      <c r="J24" s="5"/>
      <c r="K24" s="5">
        <f t="shared" si="1"/>
        <v>0</v>
      </c>
    </row>
    <row r="25" spans="1:11" x14ac:dyDescent="0.45">
      <c r="A25" s="5">
        <f t="shared" si="0"/>
        <v>24</v>
      </c>
      <c r="B25" s="5"/>
      <c r="C25" s="5"/>
      <c r="D25" s="5"/>
      <c r="E25" s="5"/>
      <c r="F25" s="5"/>
      <c r="G25" s="5"/>
      <c r="H25" s="5"/>
      <c r="I25" s="5"/>
      <c r="J25" s="5"/>
      <c r="K25" s="5">
        <f t="shared" si="1"/>
        <v>0</v>
      </c>
    </row>
    <row r="26" spans="1:11" x14ac:dyDescent="0.45">
      <c r="A26" s="5">
        <f t="shared" si="0"/>
        <v>25</v>
      </c>
      <c r="B26" s="5"/>
      <c r="C26" s="5"/>
      <c r="D26" s="5"/>
      <c r="E26" s="5"/>
      <c r="F26" s="5"/>
      <c r="G26" s="5"/>
      <c r="H26" s="5"/>
      <c r="I26" s="5"/>
      <c r="J26" s="5"/>
      <c r="K26" s="5">
        <f t="shared" si="1"/>
        <v>0</v>
      </c>
    </row>
    <row r="27" spans="1:11" x14ac:dyDescent="0.45">
      <c r="A27" s="5">
        <f t="shared" si="0"/>
        <v>26</v>
      </c>
      <c r="B27" s="5"/>
      <c r="C27" s="5"/>
      <c r="D27" s="5"/>
      <c r="E27" s="5"/>
      <c r="F27" s="5"/>
      <c r="G27" s="5"/>
      <c r="H27" s="5"/>
      <c r="I27" s="5"/>
      <c r="J27" s="5"/>
      <c r="K27" s="5">
        <f t="shared" si="1"/>
        <v>0</v>
      </c>
    </row>
    <row r="28" spans="1:11" x14ac:dyDescent="0.45">
      <c r="A28" s="5">
        <f t="shared" si="0"/>
        <v>27</v>
      </c>
      <c r="B28" s="5"/>
      <c r="C28" s="5"/>
      <c r="D28" s="5"/>
      <c r="E28" s="5"/>
      <c r="F28" s="5"/>
      <c r="G28" s="5"/>
      <c r="H28" s="5"/>
      <c r="I28" s="5"/>
      <c r="J28" s="5"/>
      <c r="K28" s="5">
        <f t="shared" si="1"/>
        <v>0</v>
      </c>
    </row>
    <row r="29" spans="1:11" x14ac:dyDescent="0.45">
      <c r="A29" s="5">
        <f t="shared" si="0"/>
        <v>28</v>
      </c>
      <c r="B29" s="5"/>
      <c r="C29" s="5"/>
      <c r="D29" s="5"/>
      <c r="E29" s="5"/>
      <c r="F29" s="5"/>
      <c r="G29" s="5"/>
      <c r="H29" s="5"/>
      <c r="I29" s="5"/>
      <c r="J29" s="5"/>
      <c r="K29" s="5">
        <f t="shared" si="1"/>
        <v>0</v>
      </c>
    </row>
    <row r="30" spans="1:11" x14ac:dyDescent="0.45">
      <c r="A30" s="5">
        <f t="shared" si="0"/>
        <v>29</v>
      </c>
      <c r="B30" s="5"/>
      <c r="C30" s="5"/>
      <c r="D30" s="5"/>
      <c r="E30" s="5"/>
      <c r="F30" s="5"/>
      <c r="G30" s="5"/>
      <c r="H30" s="5"/>
      <c r="I30" s="5"/>
      <c r="J30" s="5"/>
      <c r="K30" s="5">
        <f t="shared" si="1"/>
        <v>0</v>
      </c>
    </row>
    <row r="31" spans="1:11" x14ac:dyDescent="0.45">
      <c r="A31" s="5">
        <f t="shared" si="0"/>
        <v>30</v>
      </c>
      <c r="B31" s="5"/>
      <c r="C31" s="5"/>
      <c r="D31" s="5"/>
      <c r="E31" s="5"/>
      <c r="F31" s="5"/>
      <c r="G31" s="5"/>
      <c r="H31" s="5"/>
      <c r="I31" s="5"/>
      <c r="J31" s="5"/>
      <c r="K31" s="5">
        <f t="shared" si="1"/>
        <v>0</v>
      </c>
    </row>
    <row r="32" spans="1:11" x14ac:dyDescent="0.45">
      <c r="A32" s="5">
        <f t="shared" si="0"/>
        <v>31</v>
      </c>
      <c r="B32" s="5"/>
      <c r="C32" s="5"/>
      <c r="D32" s="5"/>
      <c r="E32" s="5"/>
      <c r="F32" s="5"/>
      <c r="G32" s="5"/>
      <c r="H32" s="5"/>
      <c r="I32" s="5"/>
      <c r="J32" s="5"/>
      <c r="K32" s="5">
        <f t="shared" si="1"/>
        <v>0</v>
      </c>
    </row>
    <row r="33" spans="1:11" x14ac:dyDescent="0.45">
      <c r="A33" s="5">
        <f t="shared" si="0"/>
        <v>32</v>
      </c>
      <c r="B33" s="5"/>
      <c r="C33" s="5"/>
      <c r="D33" s="5"/>
      <c r="E33" s="5"/>
      <c r="F33" s="5"/>
      <c r="G33" s="5"/>
      <c r="H33" s="5"/>
      <c r="I33" s="5"/>
      <c r="J33" s="5"/>
      <c r="K33" s="5">
        <f t="shared" si="1"/>
        <v>0</v>
      </c>
    </row>
    <row r="34" spans="1:11" x14ac:dyDescent="0.45">
      <c r="A34" s="5">
        <f t="shared" si="0"/>
        <v>33</v>
      </c>
      <c r="B34" s="5"/>
      <c r="C34" s="5"/>
      <c r="D34" s="5"/>
      <c r="E34" s="5"/>
      <c r="F34" s="5"/>
      <c r="G34" s="5"/>
      <c r="H34" s="5"/>
      <c r="I34" s="5"/>
      <c r="J34" s="5"/>
      <c r="K34" s="5">
        <f t="shared" si="1"/>
        <v>0</v>
      </c>
    </row>
    <row r="35" spans="1:11" x14ac:dyDescent="0.45">
      <c r="A35" s="5">
        <f t="shared" si="0"/>
        <v>34</v>
      </c>
      <c r="B35" s="5"/>
      <c r="C35" s="5"/>
      <c r="D35" s="5"/>
      <c r="E35" s="5"/>
      <c r="F35" s="5"/>
      <c r="G35" s="5"/>
      <c r="H35" s="5"/>
      <c r="I35" s="5"/>
      <c r="J35" s="5"/>
      <c r="K35" s="5">
        <f t="shared" si="1"/>
        <v>0</v>
      </c>
    </row>
    <row r="36" spans="1:11" x14ac:dyDescent="0.45">
      <c r="A36" s="5">
        <f t="shared" si="0"/>
        <v>35</v>
      </c>
      <c r="B36" s="5"/>
      <c r="C36" s="5"/>
      <c r="D36" s="5"/>
      <c r="E36" s="5"/>
      <c r="F36" s="5"/>
      <c r="G36" s="5"/>
      <c r="H36" s="5"/>
      <c r="I36" s="5"/>
      <c r="J36" s="5"/>
      <c r="K36" s="5">
        <f t="shared" si="1"/>
        <v>0</v>
      </c>
    </row>
    <row r="37" spans="1:11" x14ac:dyDescent="0.45">
      <c r="A37" s="5">
        <f t="shared" si="0"/>
        <v>36</v>
      </c>
      <c r="B37" s="5"/>
      <c r="C37" s="5"/>
      <c r="D37" s="5"/>
      <c r="E37" s="5"/>
      <c r="F37" s="5"/>
      <c r="G37" s="5"/>
      <c r="H37" s="5"/>
      <c r="I37" s="5"/>
      <c r="J37" s="5"/>
      <c r="K37" s="5">
        <f t="shared" si="1"/>
        <v>0</v>
      </c>
    </row>
    <row r="38" spans="1:11" x14ac:dyDescent="0.45">
      <c r="A38" s="5">
        <f t="shared" si="0"/>
        <v>37</v>
      </c>
      <c r="B38" s="5"/>
      <c r="C38" s="5"/>
      <c r="D38" s="5"/>
      <c r="E38" s="5"/>
      <c r="F38" s="5"/>
      <c r="G38" s="5"/>
      <c r="H38" s="5"/>
      <c r="I38" s="5"/>
      <c r="J38" s="5"/>
      <c r="K38" s="5">
        <f t="shared" si="1"/>
        <v>0</v>
      </c>
    </row>
    <row r="39" spans="1:11" x14ac:dyDescent="0.45">
      <c r="A39" s="5">
        <f t="shared" si="0"/>
        <v>38</v>
      </c>
      <c r="B39" s="5"/>
      <c r="C39" s="5"/>
      <c r="D39" s="5"/>
      <c r="E39" s="5"/>
      <c r="F39" s="5"/>
      <c r="G39" s="5"/>
      <c r="H39" s="5"/>
      <c r="I39" s="5"/>
      <c r="J39" s="5"/>
      <c r="K39" s="5">
        <f t="shared" si="1"/>
        <v>0</v>
      </c>
    </row>
    <row r="40" spans="1:11" x14ac:dyDescent="0.45">
      <c r="A40" s="5">
        <f t="shared" si="0"/>
        <v>39</v>
      </c>
      <c r="B40" s="5"/>
      <c r="C40" s="5"/>
      <c r="D40" s="5"/>
      <c r="E40" s="5"/>
      <c r="F40" s="5"/>
      <c r="G40" s="5"/>
      <c r="H40" s="5"/>
      <c r="I40" s="5"/>
      <c r="J40" s="5"/>
      <c r="K40" s="5">
        <f t="shared" si="1"/>
        <v>0</v>
      </c>
    </row>
    <row r="41" spans="1:11" x14ac:dyDescent="0.45">
      <c r="A41" s="5">
        <f t="shared" si="0"/>
        <v>40</v>
      </c>
      <c r="B41" s="5"/>
      <c r="C41" s="5"/>
      <c r="D41" s="5"/>
      <c r="E41" s="5"/>
      <c r="F41" s="5"/>
      <c r="G41" s="5"/>
      <c r="H41" s="5"/>
      <c r="I41" s="5"/>
      <c r="J41" s="5"/>
      <c r="K41" s="5">
        <f t="shared" si="1"/>
        <v>0</v>
      </c>
    </row>
    <row r="42" spans="1:11" x14ac:dyDescent="0.45">
      <c r="A42" s="5">
        <f t="shared" si="0"/>
        <v>41</v>
      </c>
      <c r="B42" s="5"/>
      <c r="C42" s="5"/>
      <c r="D42" s="5"/>
      <c r="E42" s="5"/>
      <c r="F42" s="5"/>
      <c r="G42" s="5"/>
      <c r="H42" s="5"/>
      <c r="I42" s="5"/>
      <c r="J42" s="5"/>
      <c r="K42" s="5">
        <f t="shared" si="1"/>
        <v>0</v>
      </c>
    </row>
    <row r="43" spans="1:11" x14ac:dyDescent="0.45">
      <c r="A43" s="5">
        <f t="shared" si="0"/>
        <v>42</v>
      </c>
      <c r="B43" s="5"/>
      <c r="C43" s="5"/>
      <c r="D43" s="5"/>
      <c r="E43" s="5"/>
      <c r="F43" s="5"/>
      <c r="G43" s="5"/>
      <c r="H43" s="5"/>
      <c r="I43" s="5"/>
      <c r="J43" s="5"/>
      <c r="K43" s="5">
        <f t="shared" si="1"/>
        <v>0</v>
      </c>
    </row>
    <row r="44" spans="1:11" x14ac:dyDescent="0.45">
      <c r="A44" s="5">
        <f t="shared" si="0"/>
        <v>43</v>
      </c>
      <c r="B44" s="5"/>
      <c r="C44" s="5"/>
      <c r="D44" s="5"/>
      <c r="E44" s="5"/>
      <c r="F44" s="5"/>
      <c r="G44" s="5"/>
      <c r="H44" s="5"/>
      <c r="I44" s="5"/>
      <c r="J44" s="5"/>
      <c r="K44" s="5">
        <f t="shared" si="1"/>
        <v>0</v>
      </c>
    </row>
    <row r="45" spans="1:11" x14ac:dyDescent="0.45">
      <c r="A45" s="5">
        <f t="shared" si="0"/>
        <v>44</v>
      </c>
      <c r="B45" s="5"/>
      <c r="C45" s="5"/>
      <c r="D45" s="5"/>
      <c r="E45" s="5"/>
      <c r="F45" s="5"/>
      <c r="G45" s="5"/>
      <c r="H45" s="5"/>
      <c r="I45" s="5"/>
      <c r="J45" s="5"/>
      <c r="K45" s="5">
        <f t="shared" si="1"/>
        <v>0</v>
      </c>
    </row>
    <row r="46" spans="1:11" x14ac:dyDescent="0.45">
      <c r="A46" s="5">
        <f t="shared" si="0"/>
        <v>45</v>
      </c>
      <c r="B46" s="5"/>
      <c r="C46" s="5"/>
      <c r="D46" s="5"/>
      <c r="E46" s="5"/>
      <c r="F46" s="5"/>
      <c r="G46" s="5"/>
      <c r="H46" s="5"/>
      <c r="I46" s="5"/>
      <c r="J46" s="5"/>
      <c r="K46" s="5">
        <f t="shared" si="1"/>
        <v>0</v>
      </c>
    </row>
    <row r="47" spans="1:11" x14ac:dyDescent="0.45">
      <c r="A47" s="5">
        <f t="shared" si="0"/>
        <v>46</v>
      </c>
      <c r="B47" s="5"/>
      <c r="C47" s="5"/>
      <c r="D47" s="5"/>
      <c r="E47" s="5"/>
      <c r="F47" s="5"/>
      <c r="G47" s="5"/>
      <c r="H47" s="5"/>
      <c r="I47" s="5"/>
      <c r="J47" s="5"/>
      <c r="K47" s="5">
        <f t="shared" si="1"/>
        <v>0</v>
      </c>
    </row>
    <row r="48" spans="1:11" x14ac:dyDescent="0.45">
      <c r="A48" s="5">
        <f t="shared" si="0"/>
        <v>47</v>
      </c>
      <c r="B48" s="5"/>
      <c r="C48" s="5"/>
      <c r="D48" s="5"/>
      <c r="E48" s="5"/>
      <c r="F48" s="5"/>
      <c r="G48" s="5"/>
      <c r="H48" s="5"/>
      <c r="I48" s="5"/>
      <c r="J48" s="5"/>
      <c r="K48" s="5">
        <f t="shared" si="1"/>
        <v>0</v>
      </c>
    </row>
    <row r="49" spans="1:11" x14ac:dyDescent="0.45">
      <c r="A49" s="5">
        <f t="shared" si="0"/>
        <v>48</v>
      </c>
      <c r="B49" s="5"/>
      <c r="C49" s="5"/>
      <c r="D49" s="5"/>
      <c r="E49" s="5"/>
      <c r="F49" s="5"/>
      <c r="G49" s="5"/>
      <c r="H49" s="5"/>
      <c r="I49" s="5"/>
      <c r="J49" s="5"/>
      <c r="K49" s="5">
        <f t="shared" si="1"/>
        <v>0</v>
      </c>
    </row>
    <row r="50" spans="1:11" x14ac:dyDescent="0.45">
      <c r="A50" s="5">
        <f t="shared" si="0"/>
        <v>49</v>
      </c>
      <c r="B50" s="5"/>
      <c r="C50" s="5"/>
      <c r="D50" s="5"/>
      <c r="E50" s="5"/>
      <c r="F50" s="5"/>
      <c r="G50" s="5"/>
      <c r="H50" s="5"/>
      <c r="I50" s="5"/>
      <c r="J50" s="5"/>
      <c r="K50" s="5">
        <f t="shared" si="1"/>
        <v>0</v>
      </c>
    </row>
    <row r="51" spans="1:11" x14ac:dyDescent="0.45">
      <c r="A51" s="5">
        <f t="shared" si="0"/>
        <v>50</v>
      </c>
      <c r="B51" s="5"/>
      <c r="C51" s="5"/>
      <c r="D51" s="5"/>
      <c r="E51" s="5"/>
      <c r="F51" s="5"/>
      <c r="G51" s="5"/>
      <c r="H51" s="5"/>
      <c r="I51" s="5"/>
      <c r="J51" s="5"/>
      <c r="K51" s="5">
        <f t="shared" si="1"/>
        <v>0</v>
      </c>
    </row>
    <row r="52" spans="1:11" x14ac:dyDescent="0.45">
      <c r="A52" s="5">
        <f t="shared" si="0"/>
        <v>51</v>
      </c>
      <c r="B52" s="5"/>
      <c r="C52" s="5"/>
      <c r="D52" s="5"/>
      <c r="E52" s="5"/>
      <c r="F52" s="5"/>
      <c r="G52" s="5"/>
      <c r="H52" s="5"/>
      <c r="I52" s="5"/>
      <c r="J52" s="5"/>
      <c r="K52" s="5">
        <f t="shared" si="1"/>
        <v>0</v>
      </c>
    </row>
    <row r="53" spans="1:11" x14ac:dyDescent="0.45">
      <c r="A53" s="5">
        <f t="shared" si="0"/>
        <v>52</v>
      </c>
      <c r="B53" s="5"/>
      <c r="C53" s="5"/>
      <c r="D53" s="5"/>
      <c r="E53" s="5"/>
      <c r="F53" s="5"/>
      <c r="G53" s="5"/>
      <c r="H53" s="5"/>
      <c r="I53" s="5"/>
      <c r="J53" s="5"/>
      <c r="K53" s="5">
        <f t="shared" si="1"/>
        <v>0</v>
      </c>
    </row>
    <row r="54" spans="1:11" x14ac:dyDescent="0.45">
      <c r="A54" s="5">
        <f t="shared" si="0"/>
        <v>53</v>
      </c>
      <c r="B54" s="5"/>
      <c r="C54" s="5"/>
      <c r="D54" s="5"/>
      <c r="E54" s="5"/>
      <c r="F54" s="5"/>
      <c r="G54" s="5"/>
      <c r="H54" s="5"/>
      <c r="I54" s="5"/>
      <c r="J54" s="5"/>
      <c r="K54" s="5">
        <f t="shared" si="1"/>
        <v>0</v>
      </c>
    </row>
    <row r="55" spans="1:11" x14ac:dyDescent="0.45">
      <c r="A55" s="5">
        <f t="shared" si="0"/>
        <v>54</v>
      </c>
      <c r="B55" s="5"/>
      <c r="C55" s="5"/>
      <c r="D55" s="5"/>
      <c r="E55" s="5"/>
      <c r="F55" s="5"/>
      <c r="G55" s="5"/>
      <c r="H55" s="5"/>
      <c r="I55" s="5"/>
      <c r="J55" s="5"/>
      <c r="K55" s="5">
        <f t="shared" si="1"/>
        <v>0</v>
      </c>
    </row>
    <row r="56" spans="1:11" x14ac:dyDescent="0.45">
      <c r="A56" s="5">
        <f t="shared" si="0"/>
        <v>55</v>
      </c>
      <c r="B56" s="5"/>
      <c r="C56" s="5"/>
      <c r="D56" s="5"/>
      <c r="E56" s="5"/>
      <c r="F56" s="5"/>
      <c r="G56" s="5"/>
      <c r="H56" s="5"/>
      <c r="I56" s="5"/>
      <c r="J56" s="5"/>
      <c r="K56" s="5">
        <f t="shared" si="1"/>
        <v>0</v>
      </c>
    </row>
    <row r="57" spans="1:11" x14ac:dyDescent="0.45">
      <c r="A57" s="5">
        <f t="shared" si="0"/>
        <v>56</v>
      </c>
      <c r="B57" s="5"/>
      <c r="C57" s="5"/>
      <c r="D57" s="5"/>
      <c r="E57" s="5"/>
      <c r="F57" s="5"/>
      <c r="G57" s="5"/>
      <c r="H57" s="5"/>
      <c r="I57" s="5"/>
      <c r="J57" s="5"/>
      <c r="K57" s="5">
        <f t="shared" si="1"/>
        <v>0</v>
      </c>
    </row>
    <row r="58" spans="1:11" x14ac:dyDescent="0.45">
      <c r="A58" s="5">
        <f t="shared" si="0"/>
        <v>57</v>
      </c>
      <c r="B58" s="5"/>
      <c r="C58" s="5"/>
      <c r="D58" s="5"/>
      <c r="E58" s="5"/>
      <c r="F58" s="5"/>
      <c r="G58" s="5"/>
      <c r="H58" s="5"/>
      <c r="I58" s="5"/>
      <c r="J58" s="5"/>
      <c r="K58" s="5">
        <f t="shared" si="1"/>
        <v>0</v>
      </c>
    </row>
    <row r="59" spans="1:11" x14ac:dyDescent="0.45">
      <c r="A59" s="5">
        <f t="shared" si="0"/>
        <v>58</v>
      </c>
      <c r="B59" s="5"/>
      <c r="C59" s="5"/>
      <c r="D59" s="5"/>
      <c r="E59" s="5"/>
      <c r="F59" s="5"/>
      <c r="G59" s="5"/>
      <c r="H59" s="5"/>
      <c r="I59" s="5"/>
      <c r="J59" s="5"/>
      <c r="K59" s="5">
        <f t="shared" si="1"/>
        <v>0</v>
      </c>
    </row>
    <row r="60" spans="1:11" x14ac:dyDescent="0.45">
      <c r="A60" s="5">
        <f t="shared" si="0"/>
        <v>59</v>
      </c>
      <c r="B60" s="5"/>
      <c r="C60" s="5"/>
      <c r="D60" s="5"/>
      <c r="E60" s="5"/>
      <c r="F60" s="5"/>
      <c r="G60" s="5"/>
      <c r="H60" s="5"/>
      <c r="I60" s="5"/>
      <c r="J60" s="27"/>
      <c r="K60" s="5">
        <f t="shared" si="1"/>
        <v>0</v>
      </c>
    </row>
    <row r="61" spans="1:11" x14ac:dyDescent="0.45">
      <c r="A61" s="5">
        <f t="shared" si="0"/>
        <v>60</v>
      </c>
      <c r="B61" s="5"/>
      <c r="C61" s="5"/>
      <c r="D61" s="5"/>
      <c r="E61" s="5"/>
      <c r="F61" s="5"/>
      <c r="G61" s="5"/>
      <c r="H61" s="5"/>
      <c r="I61" s="5"/>
      <c r="J61" s="5"/>
      <c r="K61" s="5">
        <f t="shared" si="1"/>
        <v>0</v>
      </c>
    </row>
    <row r="62" spans="1:11" x14ac:dyDescent="0.45">
      <c r="A62" s="5">
        <f t="shared" si="0"/>
        <v>61</v>
      </c>
      <c r="B62" s="5"/>
      <c r="C62" s="5"/>
      <c r="D62" s="5"/>
      <c r="E62" s="5"/>
      <c r="F62" s="5"/>
      <c r="G62" s="5"/>
      <c r="H62" s="5"/>
      <c r="I62" s="5"/>
      <c r="J62" s="5"/>
      <c r="K62" s="5">
        <f t="shared" si="1"/>
        <v>0</v>
      </c>
    </row>
    <row r="63" spans="1:11" x14ac:dyDescent="0.45">
      <c r="A63" s="5">
        <f t="shared" si="0"/>
        <v>62</v>
      </c>
      <c r="B63" s="5"/>
      <c r="C63" s="5"/>
      <c r="D63" s="5"/>
      <c r="E63" s="5"/>
      <c r="F63" s="5"/>
      <c r="G63" s="5"/>
      <c r="H63" s="5"/>
      <c r="I63" s="5"/>
      <c r="J63" s="5"/>
      <c r="K63" s="5">
        <f t="shared" si="1"/>
        <v>0</v>
      </c>
    </row>
    <row r="64" spans="1:11" x14ac:dyDescent="0.45">
      <c r="A64" s="5">
        <f t="shared" ref="A64:A94" si="2">ROW(A64)-1</f>
        <v>63</v>
      </c>
      <c r="B64" s="5"/>
      <c r="C64" s="5"/>
      <c r="D64" s="5"/>
      <c r="E64" s="5"/>
      <c r="F64" s="5"/>
      <c r="G64" s="5"/>
      <c r="H64" s="5"/>
      <c r="I64" s="5"/>
      <c r="J64" s="5"/>
      <c r="K64" s="5">
        <f t="shared" si="1"/>
        <v>0</v>
      </c>
    </row>
    <row r="65" spans="1:11" x14ac:dyDescent="0.45">
      <c r="A65" s="5">
        <f t="shared" si="2"/>
        <v>64</v>
      </c>
      <c r="B65" s="5"/>
      <c r="C65" s="5"/>
      <c r="D65" s="5"/>
      <c r="E65" s="5"/>
      <c r="F65" s="5"/>
      <c r="G65" s="5"/>
      <c r="H65" s="5"/>
      <c r="I65" s="5"/>
      <c r="J65" s="5"/>
      <c r="K65" s="5">
        <f t="shared" si="1"/>
        <v>0</v>
      </c>
    </row>
    <row r="66" spans="1:11" x14ac:dyDescent="0.45">
      <c r="A66" s="5">
        <f t="shared" si="2"/>
        <v>65</v>
      </c>
      <c r="B66" s="5"/>
      <c r="C66" s="5"/>
      <c r="D66" s="5"/>
      <c r="E66" s="5"/>
      <c r="F66" s="5"/>
      <c r="G66" s="5"/>
      <c r="H66" s="5"/>
      <c r="I66" s="5"/>
      <c r="J66" s="5"/>
      <c r="K66" s="5">
        <f t="shared" si="1"/>
        <v>0</v>
      </c>
    </row>
    <row r="67" spans="1:11" x14ac:dyDescent="0.45">
      <c r="A67" s="5">
        <f t="shared" si="2"/>
        <v>66</v>
      </c>
      <c r="B67" s="5"/>
      <c r="C67" s="5"/>
      <c r="D67" s="5"/>
      <c r="E67" s="5"/>
      <c r="F67" s="5"/>
      <c r="G67" s="5"/>
      <c r="H67" s="5"/>
      <c r="I67" s="5"/>
      <c r="J67" s="5"/>
      <c r="K67" s="5">
        <f t="shared" ref="K67:K120" si="3">((F67*1.25)+(G67*1.5)+(H67*0.5)+(I67*0.25)+(J67*1.5))/5</f>
        <v>0</v>
      </c>
    </row>
    <row r="68" spans="1:11" x14ac:dyDescent="0.45">
      <c r="A68" s="5">
        <f t="shared" si="2"/>
        <v>67</v>
      </c>
      <c r="B68" s="5"/>
      <c r="C68" s="5"/>
      <c r="D68" s="5"/>
      <c r="E68" s="5"/>
      <c r="F68" s="5"/>
      <c r="G68" s="5"/>
      <c r="H68" s="5"/>
      <c r="I68" s="5"/>
      <c r="J68" s="5"/>
      <c r="K68" s="5">
        <f t="shared" si="3"/>
        <v>0</v>
      </c>
    </row>
    <row r="69" spans="1:11" x14ac:dyDescent="0.45">
      <c r="A69" s="5">
        <f t="shared" si="2"/>
        <v>68</v>
      </c>
      <c r="B69" s="5"/>
      <c r="C69" s="5"/>
      <c r="D69" s="5"/>
      <c r="E69" s="5"/>
      <c r="F69" s="5"/>
      <c r="G69" s="5"/>
      <c r="H69" s="5"/>
      <c r="I69" s="5"/>
      <c r="J69" s="5"/>
      <c r="K69" s="5">
        <f t="shared" si="3"/>
        <v>0</v>
      </c>
    </row>
    <row r="70" spans="1:11" x14ac:dyDescent="0.45">
      <c r="A70" s="5">
        <f t="shared" si="2"/>
        <v>69</v>
      </c>
      <c r="B70" s="5"/>
      <c r="C70" s="5"/>
      <c r="D70" s="5"/>
      <c r="E70" s="5"/>
      <c r="F70" s="5"/>
      <c r="G70" s="5"/>
      <c r="H70" s="5"/>
      <c r="I70" s="5"/>
      <c r="J70" s="5"/>
      <c r="K70" s="5">
        <f t="shared" si="3"/>
        <v>0</v>
      </c>
    </row>
    <row r="71" spans="1:11" x14ac:dyDescent="0.45">
      <c r="A71" s="5">
        <f t="shared" si="2"/>
        <v>70</v>
      </c>
      <c r="B71" s="5"/>
      <c r="C71" s="5"/>
      <c r="D71" s="5"/>
      <c r="E71" s="5"/>
      <c r="F71" s="5"/>
      <c r="G71" s="5"/>
      <c r="H71" s="5"/>
      <c r="I71" s="5"/>
      <c r="J71" s="5"/>
      <c r="K71" s="5">
        <f t="shared" si="3"/>
        <v>0</v>
      </c>
    </row>
    <row r="72" spans="1:11" x14ac:dyDescent="0.45">
      <c r="A72" s="5">
        <f t="shared" si="2"/>
        <v>71</v>
      </c>
      <c r="B72" s="5"/>
      <c r="C72" s="5"/>
      <c r="D72" s="5"/>
      <c r="E72" s="5"/>
      <c r="F72" s="5"/>
      <c r="G72" s="5"/>
      <c r="H72" s="5"/>
      <c r="I72" s="5"/>
      <c r="J72" s="5"/>
      <c r="K72" s="5">
        <f t="shared" si="3"/>
        <v>0</v>
      </c>
    </row>
    <row r="73" spans="1:11" x14ac:dyDescent="0.45">
      <c r="A73" s="5">
        <f t="shared" si="2"/>
        <v>72</v>
      </c>
      <c r="B73" s="5"/>
      <c r="C73" s="5"/>
      <c r="D73" s="5"/>
      <c r="E73" s="5"/>
      <c r="F73" s="5"/>
      <c r="G73" s="5"/>
      <c r="H73" s="5"/>
      <c r="I73" s="5"/>
      <c r="J73" s="5"/>
      <c r="K73" s="5">
        <f t="shared" si="3"/>
        <v>0</v>
      </c>
    </row>
    <row r="74" spans="1:11" x14ac:dyDescent="0.45">
      <c r="A74" s="5">
        <f t="shared" si="2"/>
        <v>73</v>
      </c>
      <c r="B74" s="5"/>
      <c r="C74" s="5"/>
      <c r="D74" s="5"/>
      <c r="E74" s="5"/>
      <c r="F74" s="5"/>
      <c r="G74" s="5"/>
      <c r="H74" s="5"/>
      <c r="I74" s="5"/>
      <c r="J74" s="5"/>
      <c r="K74" s="5">
        <f t="shared" si="3"/>
        <v>0</v>
      </c>
    </row>
    <row r="75" spans="1:11" x14ac:dyDescent="0.45">
      <c r="A75" s="5">
        <f t="shared" si="2"/>
        <v>74</v>
      </c>
      <c r="B75" s="5"/>
      <c r="C75" s="5"/>
      <c r="D75" s="5"/>
      <c r="E75" s="5"/>
      <c r="F75" s="5"/>
      <c r="G75" s="5"/>
      <c r="H75" s="5"/>
      <c r="I75" s="5"/>
      <c r="J75" s="5"/>
      <c r="K75" s="5">
        <f t="shared" si="3"/>
        <v>0</v>
      </c>
    </row>
    <row r="76" spans="1:11" x14ac:dyDescent="0.45">
      <c r="A76" s="5">
        <f t="shared" si="2"/>
        <v>75</v>
      </c>
      <c r="B76" s="5"/>
      <c r="C76" s="5"/>
      <c r="D76" s="5"/>
      <c r="E76" s="5"/>
      <c r="F76" s="5"/>
      <c r="G76" s="5"/>
      <c r="H76" s="5"/>
      <c r="I76" s="5"/>
      <c r="J76" s="5"/>
      <c r="K76" s="5">
        <f t="shared" si="3"/>
        <v>0</v>
      </c>
    </row>
    <row r="77" spans="1:11" x14ac:dyDescent="0.45">
      <c r="A77" s="5">
        <f t="shared" si="2"/>
        <v>76</v>
      </c>
      <c r="B77" s="5"/>
      <c r="C77" s="5"/>
      <c r="D77" s="5"/>
      <c r="E77" s="5"/>
      <c r="F77" s="5"/>
      <c r="G77" s="5"/>
      <c r="H77" s="5"/>
      <c r="I77" s="5"/>
      <c r="J77" s="5"/>
      <c r="K77" s="5">
        <f t="shared" si="3"/>
        <v>0</v>
      </c>
    </row>
    <row r="78" spans="1:11" x14ac:dyDescent="0.45">
      <c r="A78" s="5">
        <f t="shared" si="2"/>
        <v>77</v>
      </c>
      <c r="B78" s="5"/>
      <c r="C78" s="5"/>
      <c r="D78" s="5"/>
      <c r="E78" s="5"/>
      <c r="F78" s="5"/>
      <c r="G78" s="5"/>
      <c r="H78" s="5"/>
      <c r="I78" s="5"/>
      <c r="J78" s="5"/>
      <c r="K78" s="5">
        <f t="shared" si="3"/>
        <v>0</v>
      </c>
    </row>
    <row r="79" spans="1:11" x14ac:dyDescent="0.45">
      <c r="A79" s="5">
        <f t="shared" si="2"/>
        <v>78</v>
      </c>
      <c r="B79" s="5"/>
      <c r="C79" s="5"/>
      <c r="D79" s="5"/>
      <c r="E79" s="5"/>
      <c r="F79" s="5"/>
      <c r="G79" s="5"/>
      <c r="H79" s="5"/>
      <c r="I79" s="5"/>
      <c r="J79" s="5"/>
      <c r="K79" s="5">
        <f t="shared" si="3"/>
        <v>0</v>
      </c>
    </row>
    <row r="80" spans="1:11" x14ac:dyDescent="0.45">
      <c r="A80" s="5">
        <f t="shared" si="2"/>
        <v>79</v>
      </c>
      <c r="B80" s="5"/>
      <c r="C80" s="5"/>
      <c r="D80" s="5"/>
      <c r="E80" s="5"/>
      <c r="F80" s="5"/>
      <c r="G80" s="5"/>
      <c r="H80" s="5"/>
      <c r="I80" s="5"/>
      <c r="J80" s="5"/>
      <c r="K80" s="5">
        <f t="shared" si="3"/>
        <v>0</v>
      </c>
    </row>
    <row r="81" spans="1:11" x14ac:dyDescent="0.45">
      <c r="A81" s="5">
        <f t="shared" si="2"/>
        <v>80</v>
      </c>
      <c r="B81" s="5"/>
      <c r="C81" s="5"/>
      <c r="D81" s="5"/>
      <c r="E81" s="5"/>
      <c r="F81" s="5"/>
      <c r="G81" s="5"/>
      <c r="H81" s="5"/>
      <c r="I81" s="5"/>
      <c r="J81" s="5"/>
      <c r="K81" s="5">
        <f t="shared" si="3"/>
        <v>0</v>
      </c>
    </row>
    <row r="82" spans="1:11" x14ac:dyDescent="0.45">
      <c r="A82" s="5">
        <f t="shared" si="2"/>
        <v>81</v>
      </c>
      <c r="B82" s="5"/>
      <c r="C82" s="5"/>
      <c r="D82" s="5"/>
      <c r="E82" s="5"/>
      <c r="F82" s="5"/>
      <c r="G82" s="5"/>
      <c r="H82" s="5"/>
      <c r="I82" s="5"/>
      <c r="J82" s="5"/>
      <c r="K82" s="5">
        <f t="shared" si="3"/>
        <v>0</v>
      </c>
    </row>
    <row r="83" spans="1:11" x14ac:dyDescent="0.45">
      <c r="A83" s="5">
        <f t="shared" si="2"/>
        <v>82</v>
      </c>
      <c r="B83" s="5"/>
      <c r="C83" s="5"/>
      <c r="D83" s="5"/>
      <c r="E83" s="5"/>
      <c r="F83" s="5"/>
      <c r="G83" s="5"/>
      <c r="H83" s="5"/>
      <c r="I83" s="5"/>
      <c r="J83" s="5"/>
      <c r="K83" s="5">
        <f t="shared" si="3"/>
        <v>0</v>
      </c>
    </row>
    <row r="84" spans="1:11" x14ac:dyDescent="0.45">
      <c r="A84" s="5">
        <f t="shared" si="2"/>
        <v>83</v>
      </c>
      <c r="B84" s="5"/>
      <c r="C84" s="5"/>
      <c r="D84" s="5"/>
      <c r="E84" s="5"/>
      <c r="F84" s="5"/>
      <c r="G84" s="5"/>
      <c r="H84" s="5"/>
      <c r="I84" s="5"/>
      <c r="J84" s="5"/>
      <c r="K84" s="5">
        <f t="shared" si="3"/>
        <v>0</v>
      </c>
    </row>
    <row r="85" spans="1:11" x14ac:dyDescent="0.45">
      <c r="A85" s="5">
        <f t="shared" si="2"/>
        <v>84</v>
      </c>
      <c r="B85" s="5"/>
      <c r="C85" s="5"/>
      <c r="D85" s="5"/>
      <c r="E85" s="5"/>
      <c r="F85" s="5"/>
      <c r="G85" s="5"/>
      <c r="H85" s="5"/>
      <c r="I85" s="5"/>
      <c r="J85" s="5"/>
      <c r="K85" s="5">
        <f t="shared" si="3"/>
        <v>0</v>
      </c>
    </row>
    <row r="86" spans="1:11" x14ac:dyDescent="0.45">
      <c r="A86" s="5">
        <f t="shared" si="2"/>
        <v>85</v>
      </c>
      <c r="B86" s="5"/>
      <c r="C86" s="5"/>
      <c r="D86" s="5"/>
      <c r="E86" s="5"/>
      <c r="F86" s="5"/>
      <c r="G86" s="5"/>
      <c r="H86" s="5"/>
      <c r="I86" s="5"/>
      <c r="J86" s="5"/>
      <c r="K86" s="5">
        <f t="shared" si="3"/>
        <v>0</v>
      </c>
    </row>
    <row r="87" spans="1:11" x14ac:dyDescent="0.45">
      <c r="A87" s="5">
        <f t="shared" si="2"/>
        <v>86</v>
      </c>
      <c r="B87" s="5"/>
      <c r="C87" s="5"/>
      <c r="D87" s="5"/>
      <c r="E87" s="5"/>
      <c r="F87" s="5"/>
      <c r="G87" s="5"/>
      <c r="H87" s="5"/>
      <c r="I87" s="5"/>
      <c r="J87" s="5"/>
      <c r="K87" s="5">
        <f t="shared" si="3"/>
        <v>0</v>
      </c>
    </row>
    <row r="88" spans="1:11" x14ac:dyDescent="0.45">
      <c r="A88" s="5">
        <f t="shared" si="2"/>
        <v>87</v>
      </c>
      <c r="B88" s="5"/>
      <c r="C88" s="5"/>
      <c r="D88" s="5"/>
      <c r="E88" s="5"/>
      <c r="F88" s="5"/>
      <c r="G88" s="5"/>
      <c r="H88" s="5"/>
      <c r="I88" s="5"/>
      <c r="J88" s="5"/>
      <c r="K88" s="5">
        <f t="shared" si="3"/>
        <v>0</v>
      </c>
    </row>
    <row r="89" spans="1:11" x14ac:dyDescent="0.45">
      <c r="A89" s="5">
        <f t="shared" si="2"/>
        <v>88</v>
      </c>
      <c r="B89" s="5"/>
      <c r="C89" s="5"/>
      <c r="D89" s="5"/>
      <c r="E89" s="5"/>
      <c r="F89" s="5"/>
      <c r="G89" s="5"/>
      <c r="H89" s="5"/>
      <c r="I89" s="5"/>
      <c r="J89" s="5"/>
      <c r="K89" s="5">
        <f t="shared" si="3"/>
        <v>0</v>
      </c>
    </row>
    <row r="90" spans="1:11" x14ac:dyDescent="0.45">
      <c r="A90" s="5">
        <f t="shared" si="2"/>
        <v>89</v>
      </c>
      <c r="B90" s="5"/>
      <c r="C90" s="5"/>
      <c r="D90" s="5"/>
      <c r="E90" s="5"/>
      <c r="F90" s="5"/>
      <c r="G90" s="5"/>
      <c r="H90" s="5"/>
      <c r="I90" s="5"/>
      <c r="J90" s="5"/>
      <c r="K90" s="5">
        <f t="shared" si="3"/>
        <v>0</v>
      </c>
    </row>
    <row r="91" spans="1:11" x14ac:dyDescent="0.45">
      <c r="A91" s="5">
        <f t="shared" si="2"/>
        <v>90</v>
      </c>
      <c r="B91" s="5"/>
      <c r="C91" s="5"/>
      <c r="D91" s="5"/>
      <c r="E91" s="5"/>
      <c r="F91" s="5"/>
      <c r="G91" s="5"/>
      <c r="H91" s="5"/>
      <c r="I91" s="5"/>
      <c r="J91" s="5"/>
      <c r="K91" s="5">
        <f t="shared" si="3"/>
        <v>0</v>
      </c>
    </row>
    <row r="92" spans="1:11" x14ac:dyDescent="0.45">
      <c r="A92" s="5">
        <f t="shared" si="2"/>
        <v>91</v>
      </c>
      <c r="B92" s="5"/>
      <c r="C92" s="5"/>
      <c r="D92" s="5"/>
      <c r="E92" s="5"/>
      <c r="F92" s="5"/>
      <c r="G92" s="5"/>
      <c r="H92" s="5"/>
      <c r="I92" s="5"/>
      <c r="J92" s="5"/>
      <c r="K92" s="5">
        <f t="shared" si="3"/>
        <v>0</v>
      </c>
    </row>
    <row r="93" spans="1:11" x14ac:dyDescent="0.45">
      <c r="A93" s="5">
        <f t="shared" si="2"/>
        <v>92</v>
      </c>
      <c r="B93" s="5"/>
      <c r="C93" s="5"/>
      <c r="D93" s="5"/>
      <c r="E93" s="5"/>
      <c r="F93" s="5"/>
      <c r="G93" s="5"/>
      <c r="H93" s="5"/>
      <c r="I93" s="5"/>
      <c r="J93" s="5"/>
      <c r="K93" s="5">
        <f t="shared" si="3"/>
        <v>0</v>
      </c>
    </row>
    <row r="94" spans="1:11" x14ac:dyDescent="0.45">
      <c r="A94" s="5">
        <f t="shared" si="2"/>
        <v>93</v>
      </c>
      <c r="B94" s="5"/>
      <c r="C94" s="5"/>
      <c r="D94" s="5"/>
      <c r="E94" s="5"/>
      <c r="F94" s="5"/>
      <c r="G94" s="5"/>
      <c r="H94" s="5"/>
      <c r="I94" s="5"/>
      <c r="J94" s="5"/>
      <c r="K94" s="5">
        <f t="shared" si="3"/>
        <v>0</v>
      </c>
    </row>
    <row r="95" spans="1:11" x14ac:dyDescent="0.45">
      <c r="A95" s="5">
        <v>94</v>
      </c>
      <c r="B95" s="5"/>
      <c r="C95" s="5"/>
      <c r="D95" s="5"/>
      <c r="E95" s="5"/>
      <c r="F95" s="5"/>
      <c r="G95" s="5"/>
      <c r="H95" s="5"/>
      <c r="I95" s="5"/>
      <c r="J95" s="5"/>
      <c r="K95" s="5">
        <f t="shared" si="3"/>
        <v>0</v>
      </c>
    </row>
    <row r="96" spans="1:11" x14ac:dyDescent="0.45">
      <c r="A96" s="5">
        <v>95</v>
      </c>
      <c r="B96" s="5"/>
      <c r="C96" s="5"/>
      <c r="D96" s="5"/>
      <c r="E96" s="5"/>
      <c r="F96" s="5"/>
      <c r="G96" s="5"/>
      <c r="H96" s="5"/>
      <c r="I96" s="5"/>
      <c r="J96" s="5"/>
      <c r="K96" s="5">
        <f t="shared" si="3"/>
        <v>0</v>
      </c>
    </row>
    <row r="97" spans="1:11" x14ac:dyDescent="0.45">
      <c r="A97" s="5">
        <v>96</v>
      </c>
      <c r="B97" s="5"/>
      <c r="C97" s="5"/>
      <c r="D97" s="5"/>
      <c r="E97" s="5"/>
      <c r="F97" s="5"/>
      <c r="G97" s="5"/>
      <c r="H97" s="5"/>
      <c r="I97" s="5"/>
      <c r="J97" s="5"/>
      <c r="K97" s="5">
        <f t="shared" si="3"/>
        <v>0</v>
      </c>
    </row>
    <row r="98" spans="1:11" x14ac:dyDescent="0.45">
      <c r="A98" s="5">
        <v>97</v>
      </c>
      <c r="B98" s="5"/>
      <c r="C98" s="5"/>
      <c r="D98" s="5"/>
      <c r="E98" s="5"/>
      <c r="F98" s="5"/>
      <c r="G98" s="5"/>
      <c r="H98" s="5"/>
      <c r="I98" s="15"/>
      <c r="J98" s="5"/>
      <c r="K98" s="5">
        <f t="shared" si="3"/>
        <v>0</v>
      </c>
    </row>
    <row r="99" spans="1:11" x14ac:dyDescent="0.45">
      <c r="A99" s="5">
        <v>98</v>
      </c>
      <c r="B99" s="5"/>
      <c r="C99" s="5"/>
      <c r="D99" s="5"/>
      <c r="E99" s="5"/>
      <c r="F99" s="15"/>
      <c r="G99" s="5"/>
      <c r="H99" s="5"/>
      <c r="I99" s="5"/>
      <c r="J99" s="5"/>
      <c r="K99" s="5">
        <f t="shared" si="3"/>
        <v>0</v>
      </c>
    </row>
    <row r="100" spans="1:11" x14ac:dyDescent="0.45">
      <c r="A100" s="5">
        <v>99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f t="shared" si="3"/>
        <v>0</v>
      </c>
    </row>
    <row r="101" spans="1:11" x14ac:dyDescent="0.45">
      <c r="A101" s="5">
        <v>100</v>
      </c>
      <c r="B101" s="5"/>
      <c r="C101" s="5"/>
      <c r="D101" s="5"/>
      <c r="E101" s="5"/>
      <c r="F101" s="5"/>
      <c r="G101" s="5"/>
      <c r="H101" s="5"/>
      <c r="I101" s="5"/>
      <c r="J101" s="5"/>
      <c r="K101" s="5">
        <f t="shared" si="3"/>
        <v>0</v>
      </c>
    </row>
    <row r="102" spans="1:11" x14ac:dyDescent="0.45">
      <c r="A102" s="5">
        <v>101</v>
      </c>
      <c r="B102" s="5"/>
      <c r="C102" s="5"/>
      <c r="D102" s="5"/>
      <c r="E102" s="5"/>
      <c r="F102" s="5"/>
      <c r="G102" s="5"/>
      <c r="H102" s="5"/>
      <c r="I102" s="5"/>
      <c r="J102" s="5"/>
      <c r="K102" s="5">
        <f t="shared" si="3"/>
        <v>0</v>
      </c>
    </row>
    <row r="103" spans="1:11" x14ac:dyDescent="0.45">
      <c r="A103" s="5">
        <v>102</v>
      </c>
      <c r="B103" s="5"/>
      <c r="C103" s="5"/>
      <c r="D103" s="5"/>
      <c r="E103" s="5"/>
      <c r="F103" s="5"/>
      <c r="G103" s="5"/>
      <c r="H103" s="5"/>
      <c r="I103" s="5"/>
      <c r="J103" s="5"/>
      <c r="K103" s="5">
        <f t="shared" si="3"/>
        <v>0</v>
      </c>
    </row>
    <row r="104" spans="1:11" x14ac:dyDescent="0.45">
      <c r="A104" s="5">
        <v>103</v>
      </c>
      <c r="B104" s="5"/>
      <c r="C104" s="5"/>
      <c r="D104" s="5"/>
      <c r="E104" s="5"/>
      <c r="F104" s="5"/>
      <c r="G104" s="5"/>
      <c r="H104" s="5"/>
      <c r="I104" s="5"/>
      <c r="J104" s="5"/>
      <c r="K104" s="5">
        <f t="shared" si="3"/>
        <v>0</v>
      </c>
    </row>
    <row r="105" spans="1:11" x14ac:dyDescent="0.45">
      <c r="A105" s="5">
        <v>104</v>
      </c>
      <c r="B105" s="5"/>
      <c r="C105" s="5"/>
      <c r="D105" s="5"/>
      <c r="E105" s="5"/>
      <c r="F105" s="5"/>
      <c r="G105" s="5"/>
      <c r="H105" s="5"/>
      <c r="I105" s="5"/>
      <c r="J105" s="5"/>
      <c r="K105" s="5">
        <f t="shared" si="3"/>
        <v>0</v>
      </c>
    </row>
    <row r="106" spans="1:11" x14ac:dyDescent="0.45">
      <c r="A106" s="5">
        <v>105</v>
      </c>
      <c r="B106" s="5"/>
      <c r="C106" s="5"/>
      <c r="D106" s="5"/>
      <c r="E106" s="5"/>
      <c r="F106" s="5"/>
      <c r="G106" s="5"/>
      <c r="H106" s="5"/>
      <c r="I106" s="5"/>
      <c r="J106" s="5"/>
      <c r="K106" s="5">
        <f t="shared" si="3"/>
        <v>0</v>
      </c>
    </row>
    <row r="107" spans="1:11" x14ac:dyDescent="0.45">
      <c r="A107" s="5">
        <v>106</v>
      </c>
      <c r="B107" s="5"/>
      <c r="C107" s="5"/>
      <c r="D107" s="5"/>
      <c r="E107" s="5"/>
      <c r="F107" s="5"/>
      <c r="G107" s="5"/>
      <c r="H107" s="5"/>
      <c r="I107" s="5"/>
      <c r="J107" s="5"/>
      <c r="K107" s="5">
        <f t="shared" si="3"/>
        <v>0</v>
      </c>
    </row>
    <row r="108" spans="1:11" x14ac:dyDescent="0.45">
      <c r="A108" s="5">
        <v>107</v>
      </c>
      <c r="B108" s="5"/>
      <c r="C108" s="5"/>
      <c r="D108" s="5"/>
      <c r="E108" s="5"/>
      <c r="F108" s="5"/>
      <c r="G108" s="5"/>
      <c r="H108" s="5"/>
      <c r="I108" s="5"/>
      <c r="J108" s="5"/>
      <c r="K108" s="5">
        <f t="shared" si="3"/>
        <v>0</v>
      </c>
    </row>
    <row r="109" spans="1:11" x14ac:dyDescent="0.45">
      <c r="A109" s="5">
        <v>108</v>
      </c>
      <c r="B109" s="5"/>
      <c r="C109" s="5"/>
      <c r="D109" s="5"/>
      <c r="E109" s="5"/>
      <c r="F109" s="5"/>
      <c r="G109" s="5"/>
      <c r="H109" s="5"/>
      <c r="I109" s="5"/>
      <c r="J109" s="5"/>
      <c r="K109" s="5">
        <f t="shared" si="3"/>
        <v>0</v>
      </c>
    </row>
    <row r="110" spans="1:11" x14ac:dyDescent="0.45">
      <c r="A110" s="5">
        <v>109</v>
      </c>
      <c r="B110" s="5"/>
      <c r="C110" s="5"/>
      <c r="D110" s="5"/>
      <c r="E110" s="5"/>
      <c r="F110" s="5"/>
      <c r="G110" s="5"/>
      <c r="H110" s="5"/>
      <c r="I110" s="5"/>
      <c r="J110" s="5"/>
      <c r="K110" s="5">
        <f t="shared" si="3"/>
        <v>0</v>
      </c>
    </row>
    <row r="111" spans="1:11" x14ac:dyDescent="0.45">
      <c r="A111" s="5">
        <v>110</v>
      </c>
      <c r="B111" s="5"/>
      <c r="C111" s="5"/>
      <c r="D111" s="5"/>
      <c r="E111" s="5"/>
      <c r="F111" s="5"/>
      <c r="G111" s="5"/>
      <c r="H111" s="5"/>
      <c r="I111" s="5"/>
      <c r="J111" s="5"/>
      <c r="K111" s="5">
        <f t="shared" si="3"/>
        <v>0</v>
      </c>
    </row>
    <row r="112" spans="1:11" x14ac:dyDescent="0.45">
      <c r="A112" s="5">
        <v>111</v>
      </c>
      <c r="B112" s="5"/>
      <c r="C112" s="5"/>
      <c r="D112" s="5"/>
      <c r="E112" s="5"/>
      <c r="F112" s="5"/>
      <c r="G112" s="5"/>
      <c r="H112" s="5"/>
      <c r="I112" s="5"/>
      <c r="J112" s="5"/>
      <c r="K112" s="5">
        <f t="shared" si="3"/>
        <v>0</v>
      </c>
    </row>
    <row r="113" spans="1:11" x14ac:dyDescent="0.45">
      <c r="A113" s="5">
        <v>112</v>
      </c>
      <c r="B113" s="5"/>
      <c r="C113" s="5"/>
      <c r="D113" s="5"/>
      <c r="E113" s="5"/>
      <c r="F113" s="5"/>
      <c r="G113" s="5"/>
      <c r="H113" s="5"/>
      <c r="I113" s="5"/>
      <c r="J113" s="5"/>
      <c r="K113" s="5">
        <f t="shared" si="3"/>
        <v>0</v>
      </c>
    </row>
    <row r="114" spans="1:11" x14ac:dyDescent="0.45">
      <c r="A114" s="5">
        <v>113</v>
      </c>
      <c r="B114" s="5"/>
      <c r="C114" s="5"/>
      <c r="D114" s="5"/>
      <c r="E114" s="5"/>
      <c r="F114" s="5"/>
      <c r="G114" s="5"/>
      <c r="H114" s="5"/>
      <c r="I114" s="5"/>
      <c r="J114" s="5"/>
      <c r="K114" s="5">
        <f t="shared" si="3"/>
        <v>0</v>
      </c>
    </row>
    <row r="115" spans="1:11" x14ac:dyDescent="0.45">
      <c r="A115" s="5">
        <v>114</v>
      </c>
      <c r="B115" s="5"/>
      <c r="C115" s="5"/>
      <c r="D115" s="5"/>
      <c r="E115" s="5"/>
      <c r="F115" s="5"/>
      <c r="G115" s="5"/>
      <c r="H115" s="5"/>
      <c r="I115" s="5"/>
      <c r="J115" s="5"/>
      <c r="K115" s="5">
        <f t="shared" si="3"/>
        <v>0</v>
      </c>
    </row>
    <row r="116" spans="1:11" x14ac:dyDescent="0.45">
      <c r="A116" s="5">
        <v>115</v>
      </c>
      <c r="B116" s="5"/>
      <c r="C116" s="5"/>
      <c r="D116" s="5"/>
      <c r="E116" s="5"/>
      <c r="F116" s="5"/>
      <c r="G116" s="5"/>
      <c r="H116" s="5"/>
      <c r="I116" s="5"/>
      <c r="J116" s="5"/>
      <c r="K116" s="5">
        <f t="shared" si="3"/>
        <v>0</v>
      </c>
    </row>
    <row r="117" spans="1:11" x14ac:dyDescent="0.45">
      <c r="A117" s="5">
        <v>116</v>
      </c>
      <c r="B117" s="5"/>
      <c r="C117" s="5"/>
      <c r="D117" s="5"/>
      <c r="E117" s="5"/>
      <c r="F117" s="5"/>
      <c r="G117" s="5"/>
      <c r="H117" s="5"/>
      <c r="I117" s="5"/>
      <c r="J117" s="5"/>
      <c r="K117" s="5">
        <f t="shared" si="3"/>
        <v>0</v>
      </c>
    </row>
    <row r="118" spans="1:11" x14ac:dyDescent="0.45">
      <c r="A118" s="5">
        <v>117</v>
      </c>
      <c r="B118" s="5"/>
      <c r="C118" s="5"/>
      <c r="D118" s="5"/>
      <c r="E118" s="5"/>
      <c r="F118" s="5"/>
      <c r="G118" s="5"/>
      <c r="H118" s="5"/>
      <c r="I118" s="5"/>
      <c r="J118" s="5"/>
      <c r="K118" s="5">
        <f t="shared" si="3"/>
        <v>0</v>
      </c>
    </row>
    <row r="119" spans="1:11" x14ac:dyDescent="0.45">
      <c r="A119" s="5">
        <v>118</v>
      </c>
      <c r="B119" s="5"/>
      <c r="C119" s="5"/>
      <c r="D119" s="5"/>
      <c r="E119" s="5"/>
      <c r="F119" s="5"/>
      <c r="G119" s="5"/>
      <c r="H119" s="5"/>
      <c r="I119" s="5"/>
      <c r="J119" s="5"/>
      <c r="K119" s="5">
        <f t="shared" si="3"/>
        <v>0</v>
      </c>
    </row>
    <row r="120" spans="1:11" x14ac:dyDescent="0.45">
      <c r="A120" s="5">
        <v>119</v>
      </c>
      <c r="B120" s="5"/>
      <c r="C120" s="5"/>
      <c r="D120" s="5"/>
      <c r="E120" s="5"/>
      <c r="F120" s="5"/>
      <c r="G120" s="5"/>
      <c r="H120" s="5"/>
      <c r="I120" s="5"/>
      <c r="J120" s="5"/>
      <c r="K120" s="5">
        <f t="shared" si="3"/>
        <v>0</v>
      </c>
    </row>
    <row r="121" spans="1:11" x14ac:dyDescent="0.45">
      <c r="A121" s="5">
        <v>120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45">
      <c r="A122" s="5">
        <v>121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45">
      <c r="A123" s="5">
        <v>122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45">
      <c r="A124" s="5">
        <v>123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45">
      <c r="A125" s="5">
        <v>124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45">
      <c r="A126" s="5">
        <v>125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</row>
  </sheetData>
  <autoFilter ref="A1:K126" xr:uid="{00000000-0001-0000-0300-000000000000}">
    <sortState xmlns:xlrd2="http://schemas.microsoft.com/office/spreadsheetml/2017/richdata2" ref="A6:K9">
      <sortCondition descending="1" ref="K1:K126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مرجع!$AC$2:$AC$5</xm:f>
          </x14:formula1>
          <xm:sqref>D91:D94 D18:D30 D60:D69 D75:D79 D83:D86 D6:D13</xm:sqref>
        </x14:dataValidation>
        <x14:dataValidation type="list" allowBlank="1" showInputMessage="1" showErrorMessage="1" xr:uid="{00000000-0002-0000-0300-000001000000}">
          <x14:formula1>
            <xm:f>مرجع!$F$2:$F$13</xm:f>
          </x14:formula1>
          <xm:sqref>C83:C94 C18:C30 C60:C69 C75:C79 C10:C13</xm:sqref>
        </x14:dataValidation>
        <x14:dataValidation type="list" allowBlank="1" showInputMessage="1" showErrorMessage="1" xr:uid="{00000000-0002-0000-0300-000002000000}">
          <x14:formula1>
            <xm:f>مرجع!$C$2:$C$5</xm:f>
          </x14:formula1>
          <xm:sqref>B83:B94 B18:B30 B60:B69 B75:B79 B10:B13</xm:sqref>
        </x14:dataValidation>
        <x14:dataValidation type="list" allowBlank="1" showInputMessage="1" showErrorMessage="1" xr:uid="{00000000-0002-0000-0300-000003000000}">
          <x14:formula1>
            <xm:f>مرجع!$N$2:$N$5</xm:f>
          </x14:formula1>
          <xm:sqref>E10:E1048576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796"/>
  <sheetViews>
    <sheetView rightToLeft="1" tabSelected="1" topLeftCell="B1" zoomScaleNormal="100" workbookViewId="0">
      <pane ySplit="1" topLeftCell="A2" activePane="bottomLeft" state="frozen"/>
      <selection activeCell="B1" sqref="B1"/>
      <selection pane="bottomLeft" activeCell="K797" sqref="K797"/>
    </sheetView>
  </sheetViews>
  <sheetFormatPr defaultRowHeight="14.25" x14ac:dyDescent="0.45"/>
  <cols>
    <col min="1" max="4" width="9.1328125" style="8"/>
    <col min="5" max="5" width="19.59765625" style="8" customWidth="1"/>
    <col min="6" max="6" width="17.1328125" style="8" bestFit="1" customWidth="1"/>
    <col min="7" max="7" width="12.59765625" style="8" customWidth="1"/>
    <col min="8" max="8" width="10.86328125" style="8" customWidth="1"/>
    <col min="9" max="9" width="26.73046875" style="8" customWidth="1"/>
    <col min="10" max="10" width="11.3984375" style="8" customWidth="1"/>
    <col min="11" max="11" width="19.3984375" style="8" bestFit="1" customWidth="1"/>
    <col min="12" max="12" width="9.1328125" style="8"/>
  </cols>
  <sheetData>
    <row r="1" spans="1:12" ht="21.4" x14ac:dyDescent="1">
      <c r="A1" s="9" t="s">
        <v>605</v>
      </c>
      <c r="B1" s="9" t="s">
        <v>606</v>
      </c>
      <c r="C1" s="9" t="s">
        <v>607</v>
      </c>
      <c r="D1" s="9" t="s">
        <v>608</v>
      </c>
      <c r="E1" s="9" t="s">
        <v>609</v>
      </c>
      <c r="F1" s="9" t="s">
        <v>610</v>
      </c>
      <c r="G1" s="9" t="s">
        <v>611</v>
      </c>
      <c r="H1" s="9" t="s">
        <v>612</v>
      </c>
      <c r="I1" s="32" t="s">
        <v>613</v>
      </c>
      <c r="J1" s="9" t="s">
        <v>616</v>
      </c>
      <c r="K1" s="9" t="s">
        <v>617</v>
      </c>
      <c r="L1" s="9" t="s">
        <v>614</v>
      </c>
    </row>
    <row r="2" spans="1:12" hidden="1" x14ac:dyDescent="0.45">
      <c r="A2" s="5">
        <f t="shared" ref="A2:A65" si="0">ROW(A2)-1</f>
        <v>1</v>
      </c>
      <c r="B2" s="5">
        <v>1405</v>
      </c>
      <c r="C2" s="5" t="s">
        <v>46</v>
      </c>
      <c r="D2" s="5">
        <v>2</v>
      </c>
      <c r="E2" s="5" t="s">
        <v>40</v>
      </c>
      <c r="F2" s="5">
        <v>4.8600000000000003</v>
      </c>
      <c r="G2" s="5">
        <v>4.53</v>
      </c>
      <c r="H2" s="5">
        <v>3.66</v>
      </c>
      <c r="I2" s="5">
        <v>5</v>
      </c>
      <c r="J2" s="5">
        <v>3.93</v>
      </c>
      <c r="K2" s="5">
        <v>3.9</v>
      </c>
      <c r="L2" s="5">
        <f t="shared" ref="L2:L65" si="1">((F2*1.25)+(G2*1.25)+(H2*0.75)+(I2*0.25)+(J2*0.75)+(K2*0.75))/5</f>
        <v>4.3210000000000006</v>
      </c>
    </row>
    <row r="3" spans="1:12" hidden="1" x14ac:dyDescent="0.45">
      <c r="A3" s="5">
        <f t="shared" si="0"/>
        <v>2</v>
      </c>
      <c r="B3" s="5">
        <v>1405</v>
      </c>
      <c r="C3" s="5" t="s">
        <v>46</v>
      </c>
      <c r="D3" s="5">
        <v>2</v>
      </c>
      <c r="E3" s="5" t="s">
        <v>36</v>
      </c>
      <c r="F3" s="5">
        <v>4.53</v>
      </c>
      <c r="G3" s="5">
        <v>4.5999999999999996</v>
      </c>
      <c r="H3" s="5">
        <v>3.53</v>
      </c>
      <c r="I3" s="5">
        <v>4.25</v>
      </c>
      <c r="J3" s="5">
        <v>3.81</v>
      </c>
      <c r="K3" s="5">
        <v>3.6</v>
      </c>
      <c r="L3" s="5">
        <f t="shared" si="1"/>
        <v>4.136000000000001</v>
      </c>
    </row>
    <row r="4" spans="1:12" hidden="1" x14ac:dyDescent="0.45">
      <c r="A4" s="5">
        <f t="shared" si="0"/>
        <v>3</v>
      </c>
      <c r="B4" s="5">
        <v>1405</v>
      </c>
      <c r="C4" s="5" t="s">
        <v>46</v>
      </c>
      <c r="D4" s="5">
        <v>2</v>
      </c>
      <c r="E4" s="5" t="s">
        <v>597</v>
      </c>
      <c r="F4" s="5">
        <v>4</v>
      </c>
      <c r="G4" s="5">
        <v>4.5999999999999996</v>
      </c>
      <c r="H4" s="5">
        <v>3</v>
      </c>
      <c r="I4" s="5">
        <v>4.5</v>
      </c>
      <c r="J4" s="5">
        <v>4.12</v>
      </c>
      <c r="K4" s="5">
        <v>3.7</v>
      </c>
      <c r="L4" s="5">
        <f t="shared" si="1"/>
        <v>3.9980000000000002</v>
      </c>
    </row>
    <row r="5" spans="1:12" hidden="1" x14ac:dyDescent="0.45">
      <c r="A5" s="5">
        <f t="shared" si="0"/>
        <v>4</v>
      </c>
      <c r="B5" s="5">
        <v>1405</v>
      </c>
      <c r="C5" s="5" t="s">
        <v>46</v>
      </c>
      <c r="D5" s="5">
        <v>2</v>
      </c>
      <c r="E5" s="5" t="s">
        <v>594</v>
      </c>
      <c r="F5" s="5">
        <v>4.0599999999999996</v>
      </c>
      <c r="G5" s="5">
        <v>4.5999999999999996</v>
      </c>
      <c r="H5" s="5">
        <v>2.73</v>
      </c>
      <c r="I5" s="5">
        <v>3.75</v>
      </c>
      <c r="J5" s="5">
        <v>4.3099999999999996</v>
      </c>
      <c r="K5" s="5">
        <v>3.9</v>
      </c>
      <c r="L5" s="5">
        <f t="shared" si="1"/>
        <v>3.9934999999999996</v>
      </c>
    </row>
    <row r="6" spans="1:12" hidden="1" x14ac:dyDescent="0.45">
      <c r="A6" s="5">
        <f t="shared" si="0"/>
        <v>5</v>
      </c>
      <c r="B6" s="5">
        <v>1405</v>
      </c>
      <c r="C6" s="5" t="s">
        <v>46</v>
      </c>
      <c r="D6" s="5">
        <v>2</v>
      </c>
      <c r="E6" s="5" t="s">
        <v>598</v>
      </c>
      <c r="F6" s="5">
        <v>4</v>
      </c>
      <c r="G6" s="5">
        <v>4.5999999999999996</v>
      </c>
      <c r="H6" s="5">
        <v>3.13</v>
      </c>
      <c r="I6" s="5">
        <v>4</v>
      </c>
      <c r="J6" s="5">
        <v>4.18</v>
      </c>
      <c r="K6" s="5">
        <v>3.2</v>
      </c>
      <c r="L6" s="5">
        <f t="shared" si="1"/>
        <v>3.9264999999999999</v>
      </c>
    </row>
    <row r="7" spans="1:12" hidden="1" x14ac:dyDescent="0.45">
      <c r="A7" s="5">
        <f t="shared" si="0"/>
        <v>6</v>
      </c>
      <c r="B7" s="5">
        <v>1405</v>
      </c>
      <c r="C7" s="5" t="s">
        <v>46</v>
      </c>
      <c r="D7" s="5">
        <v>2</v>
      </c>
      <c r="E7" s="5" t="s">
        <v>41</v>
      </c>
      <c r="F7" s="5">
        <v>4.0599999999999996</v>
      </c>
      <c r="G7" s="5">
        <v>4.18</v>
      </c>
      <c r="H7" s="5">
        <v>3.06</v>
      </c>
      <c r="I7" s="5">
        <v>4</v>
      </c>
      <c r="J7" s="5">
        <v>3.81</v>
      </c>
      <c r="K7" s="5">
        <v>3.8</v>
      </c>
      <c r="L7" s="5">
        <f t="shared" si="1"/>
        <v>3.8605000000000005</v>
      </c>
    </row>
    <row r="8" spans="1:12" hidden="1" x14ac:dyDescent="0.45">
      <c r="A8" s="5">
        <f t="shared" si="0"/>
        <v>7</v>
      </c>
      <c r="B8" s="5">
        <v>1405</v>
      </c>
      <c r="C8" s="5" t="s">
        <v>46</v>
      </c>
      <c r="D8" s="5">
        <v>2</v>
      </c>
      <c r="E8" s="5" t="s">
        <v>599</v>
      </c>
      <c r="F8" s="5">
        <v>3.8</v>
      </c>
      <c r="G8" s="5">
        <v>4.32</v>
      </c>
      <c r="H8" s="5">
        <v>3.66</v>
      </c>
      <c r="I8" s="5">
        <v>4</v>
      </c>
      <c r="J8" s="5">
        <v>3.81</v>
      </c>
      <c r="K8" s="5">
        <v>3.1</v>
      </c>
      <c r="L8" s="5">
        <f t="shared" si="1"/>
        <v>3.8154999999999992</v>
      </c>
    </row>
    <row r="9" spans="1:12" hidden="1" x14ac:dyDescent="0.45">
      <c r="A9" s="5">
        <f t="shared" si="0"/>
        <v>8</v>
      </c>
      <c r="B9" s="5">
        <v>1405</v>
      </c>
      <c r="C9" s="5" t="s">
        <v>46</v>
      </c>
      <c r="D9" s="5">
        <v>2</v>
      </c>
      <c r="E9" s="5" t="s">
        <v>596</v>
      </c>
      <c r="F9" s="5">
        <v>3.5</v>
      </c>
      <c r="G9" s="5">
        <v>4.46</v>
      </c>
      <c r="H9" s="5">
        <v>3</v>
      </c>
      <c r="I9" s="5">
        <v>3.5</v>
      </c>
      <c r="J9" s="5">
        <v>4</v>
      </c>
      <c r="K9" s="5">
        <v>3</v>
      </c>
      <c r="L9" s="5">
        <f t="shared" si="1"/>
        <v>3.665</v>
      </c>
    </row>
    <row r="10" spans="1:12" hidden="1" x14ac:dyDescent="0.45">
      <c r="A10" s="5">
        <f t="shared" si="0"/>
        <v>9</v>
      </c>
      <c r="B10" s="5">
        <v>1405</v>
      </c>
      <c r="C10" s="5" t="s">
        <v>46</v>
      </c>
      <c r="D10" s="5">
        <v>2</v>
      </c>
      <c r="E10" s="7" t="s">
        <v>604</v>
      </c>
      <c r="F10" s="5">
        <v>3.66</v>
      </c>
      <c r="G10" s="5">
        <v>4.5999999999999996</v>
      </c>
      <c r="H10" s="5">
        <v>3.2</v>
      </c>
      <c r="I10" s="5">
        <v>3.5</v>
      </c>
      <c r="J10" s="5">
        <v>3.93</v>
      </c>
      <c r="K10" s="5">
        <v>3.4</v>
      </c>
      <c r="L10" s="5">
        <f t="shared" si="1"/>
        <v>3.8195000000000001</v>
      </c>
    </row>
    <row r="11" spans="1:12" x14ac:dyDescent="0.45">
      <c r="A11" s="5">
        <f t="shared" ref="A11:A19" si="2">ROW(A11)-1</f>
        <v>10</v>
      </c>
      <c r="B11" s="5">
        <v>1405</v>
      </c>
      <c r="C11" s="5" t="s">
        <v>46</v>
      </c>
      <c r="D11" s="5">
        <v>3</v>
      </c>
      <c r="E11" s="5" t="s">
        <v>594</v>
      </c>
      <c r="F11" s="5">
        <v>4.5</v>
      </c>
      <c r="G11" s="5">
        <v>4.62</v>
      </c>
      <c r="H11" s="5">
        <v>3.45</v>
      </c>
      <c r="I11" s="5">
        <v>4</v>
      </c>
      <c r="J11" s="5">
        <v>4.3099999999999996</v>
      </c>
      <c r="K11" s="5">
        <v>4.5999999999999996</v>
      </c>
      <c r="L11" s="5">
        <f t="shared" ref="L11:L19" si="3">((F11*1.25)+(G11*1.25)+(H11*0.75)+(I11*0.25)+(J11*0.75)+(K11*0.75))/5</f>
        <v>4.3339999999999996</v>
      </c>
    </row>
    <row r="12" spans="1:12" x14ac:dyDescent="0.45">
      <c r="A12" s="5">
        <f t="shared" si="2"/>
        <v>11</v>
      </c>
      <c r="B12" s="5">
        <v>1405</v>
      </c>
      <c r="C12" s="5" t="s">
        <v>46</v>
      </c>
      <c r="D12" s="5">
        <v>3</v>
      </c>
      <c r="E12" s="5" t="s">
        <v>40</v>
      </c>
      <c r="F12" s="5">
        <v>4.5333333333333332</v>
      </c>
      <c r="G12" s="5">
        <v>4.51</v>
      </c>
      <c r="H12" s="5">
        <v>3.5</v>
      </c>
      <c r="I12" s="5">
        <v>5</v>
      </c>
      <c r="J12" s="5">
        <v>3.93</v>
      </c>
      <c r="K12" s="5">
        <v>4.7</v>
      </c>
      <c r="L12" s="5">
        <f t="shared" si="3"/>
        <v>4.3303333333333329</v>
      </c>
    </row>
    <row r="13" spans="1:12" x14ac:dyDescent="0.45">
      <c r="A13" s="5">
        <f t="shared" si="2"/>
        <v>12</v>
      </c>
      <c r="B13" s="5">
        <v>1405</v>
      </c>
      <c r="C13" s="5" t="s">
        <v>46</v>
      </c>
      <c r="D13" s="5">
        <v>3</v>
      </c>
      <c r="E13" s="7" t="s">
        <v>604</v>
      </c>
      <c r="F13" s="5">
        <v>3.8</v>
      </c>
      <c r="G13" s="5">
        <v>4.62</v>
      </c>
      <c r="H13" s="5">
        <v>3.5</v>
      </c>
      <c r="I13" s="5">
        <v>3</v>
      </c>
      <c r="J13" s="5">
        <v>4.2300000000000004</v>
      </c>
      <c r="K13" s="5">
        <v>4.7</v>
      </c>
      <c r="L13" s="5">
        <f t="shared" si="3"/>
        <v>4.1195000000000004</v>
      </c>
    </row>
    <row r="14" spans="1:12" x14ac:dyDescent="0.45">
      <c r="A14" s="5">
        <f t="shared" si="2"/>
        <v>13</v>
      </c>
      <c r="B14" s="5">
        <v>1405</v>
      </c>
      <c r="C14" s="5" t="s">
        <v>46</v>
      </c>
      <c r="D14" s="5">
        <v>3</v>
      </c>
      <c r="E14" s="5" t="s">
        <v>36</v>
      </c>
      <c r="F14" s="5">
        <v>4.5999999999999996</v>
      </c>
      <c r="G14" s="5">
        <v>4.4800000000000004</v>
      </c>
      <c r="H14" s="5">
        <v>3.4</v>
      </c>
      <c r="I14" s="5">
        <v>3.75</v>
      </c>
      <c r="J14" s="5">
        <v>3.81</v>
      </c>
      <c r="K14" s="5">
        <v>3.7</v>
      </c>
      <c r="L14" s="5">
        <f t="shared" si="3"/>
        <v>4.0939999999999994</v>
      </c>
    </row>
    <row r="15" spans="1:12" x14ac:dyDescent="0.45">
      <c r="A15" s="5">
        <f t="shared" si="2"/>
        <v>14</v>
      </c>
      <c r="B15" s="5">
        <v>1405</v>
      </c>
      <c r="C15" s="5" t="s">
        <v>46</v>
      </c>
      <c r="D15" s="5">
        <v>3</v>
      </c>
      <c r="E15" s="5" t="s">
        <v>597</v>
      </c>
      <c r="F15" s="5">
        <v>4</v>
      </c>
      <c r="G15" s="5">
        <v>4.4800000000000004</v>
      </c>
      <c r="H15" s="5">
        <v>3</v>
      </c>
      <c r="I15" s="5">
        <v>4.75</v>
      </c>
      <c r="J15" s="5">
        <v>4.12</v>
      </c>
      <c r="K15" s="5">
        <v>3.7</v>
      </c>
      <c r="L15" s="5">
        <f t="shared" si="3"/>
        <v>3.9805000000000006</v>
      </c>
    </row>
    <row r="16" spans="1:12" x14ac:dyDescent="0.45">
      <c r="A16" s="5">
        <f t="shared" si="2"/>
        <v>15</v>
      </c>
      <c r="B16" s="5">
        <v>1405</v>
      </c>
      <c r="C16" s="5" t="s">
        <v>46</v>
      </c>
      <c r="D16" s="5">
        <v>3</v>
      </c>
      <c r="E16" s="5" t="s">
        <v>598</v>
      </c>
      <c r="F16" s="5">
        <v>4</v>
      </c>
      <c r="G16" s="5">
        <v>4.42</v>
      </c>
      <c r="H16" s="5">
        <v>3</v>
      </c>
      <c r="I16" s="5">
        <v>4</v>
      </c>
      <c r="J16" s="5">
        <v>4.18</v>
      </c>
      <c r="K16" s="5">
        <v>3</v>
      </c>
      <c r="L16" s="5">
        <f t="shared" si="3"/>
        <v>3.8319999999999999</v>
      </c>
    </row>
    <row r="17" spans="1:12" x14ac:dyDescent="0.45">
      <c r="A17" s="5">
        <f t="shared" si="2"/>
        <v>16</v>
      </c>
      <c r="B17" s="5">
        <v>1405</v>
      </c>
      <c r="C17" s="5" t="s">
        <v>46</v>
      </c>
      <c r="D17" s="5">
        <v>3</v>
      </c>
      <c r="E17" s="5" t="s">
        <v>41</v>
      </c>
      <c r="F17" s="5">
        <v>3.8</v>
      </c>
      <c r="G17" s="5">
        <v>4.4000000000000004</v>
      </c>
      <c r="H17" s="5">
        <v>3.06</v>
      </c>
      <c r="I17" s="5">
        <v>3</v>
      </c>
      <c r="J17" s="5">
        <v>3.81</v>
      </c>
      <c r="K17" s="5">
        <v>3.1</v>
      </c>
      <c r="L17" s="5">
        <f t="shared" si="3"/>
        <v>3.6955</v>
      </c>
    </row>
    <row r="18" spans="1:12" x14ac:dyDescent="0.45">
      <c r="A18" s="5">
        <f t="shared" si="2"/>
        <v>17</v>
      </c>
      <c r="B18" s="5">
        <v>1405</v>
      </c>
      <c r="C18" s="5" t="s">
        <v>46</v>
      </c>
      <c r="D18" s="5">
        <v>3</v>
      </c>
      <c r="E18" s="5" t="s">
        <v>596</v>
      </c>
      <c r="F18" s="5">
        <v>3.5333333333333332</v>
      </c>
      <c r="G18" s="5">
        <v>4.3</v>
      </c>
      <c r="H18" s="5">
        <v>3</v>
      </c>
      <c r="I18" s="5">
        <v>3</v>
      </c>
      <c r="J18" s="5">
        <v>4</v>
      </c>
      <c r="K18" s="5">
        <v>2.6</v>
      </c>
      <c r="L18" s="5">
        <f t="shared" si="3"/>
        <v>3.5483333333333333</v>
      </c>
    </row>
    <row r="19" spans="1:12" x14ac:dyDescent="0.45">
      <c r="A19" s="5">
        <f t="shared" si="2"/>
        <v>18</v>
      </c>
      <c r="B19" s="5">
        <v>1405</v>
      </c>
      <c r="C19" s="5" t="s">
        <v>46</v>
      </c>
      <c r="D19" s="5">
        <v>3</v>
      </c>
      <c r="E19" s="5" t="s">
        <v>599</v>
      </c>
      <c r="F19" s="5">
        <v>3.4</v>
      </c>
      <c r="G19" s="5">
        <v>4.4000000000000004</v>
      </c>
      <c r="H19" s="5">
        <v>3.7</v>
      </c>
      <c r="I19" s="5">
        <v>3</v>
      </c>
      <c r="J19" s="5">
        <v>4.2</v>
      </c>
      <c r="K19" s="5">
        <v>4</v>
      </c>
      <c r="L19" s="5">
        <f t="shared" si="3"/>
        <v>3.8850000000000002</v>
      </c>
    </row>
    <row r="20" spans="1:12" hidden="1" x14ac:dyDescent="0.45">
      <c r="A20" s="5">
        <f t="shared" si="0"/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>
        <f t="shared" si="1"/>
        <v>0</v>
      </c>
    </row>
    <row r="21" spans="1:12" hidden="1" x14ac:dyDescent="0.45">
      <c r="A21" s="5">
        <f t="shared" si="0"/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f t="shared" si="1"/>
        <v>0</v>
      </c>
    </row>
    <row r="22" spans="1:12" hidden="1" x14ac:dyDescent="0.45">
      <c r="A22" s="5">
        <f t="shared" si="0"/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f t="shared" si="1"/>
        <v>0</v>
      </c>
    </row>
    <row r="23" spans="1:12" hidden="1" x14ac:dyDescent="0.45">
      <c r="A23" s="5">
        <f t="shared" si="0"/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f t="shared" si="1"/>
        <v>0</v>
      </c>
    </row>
    <row r="24" spans="1:12" hidden="1" x14ac:dyDescent="0.45">
      <c r="A24" s="5">
        <f t="shared" si="0"/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f t="shared" si="1"/>
        <v>0</v>
      </c>
    </row>
    <row r="25" spans="1:12" hidden="1" x14ac:dyDescent="0.45">
      <c r="A25" s="5">
        <f t="shared" si="0"/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>
        <f t="shared" si="1"/>
        <v>0</v>
      </c>
    </row>
    <row r="26" spans="1:12" hidden="1" x14ac:dyDescent="0.45">
      <c r="A26" s="5">
        <f t="shared" si="0"/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f t="shared" si="1"/>
        <v>0</v>
      </c>
    </row>
    <row r="27" spans="1:12" hidden="1" x14ac:dyDescent="0.45">
      <c r="A27" s="5">
        <f t="shared" si="0"/>
        <v>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f t="shared" si="1"/>
        <v>0</v>
      </c>
    </row>
    <row r="28" spans="1:12" hidden="1" x14ac:dyDescent="0.45">
      <c r="A28" s="5">
        <f t="shared" si="0"/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f t="shared" si="1"/>
        <v>0</v>
      </c>
    </row>
    <row r="29" spans="1:12" hidden="1" x14ac:dyDescent="0.45">
      <c r="A29" s="5">
        <f t="shared" si="0"/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>
        <f t="shared" si="1"/>
        <v>0</v>
      </c>
    </row>
    <row r="30" spans="1:12" hidden="1" x14ac:dyDescent="0.45">
      <c r="A30" s="5">
        <f t="shared" si="0"/>
        <v>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f t="shared" si="1"/>
        <v>0</v>
      </c>
    </row>
    <row r="31" spans="1:12" hidden="1" x14ac:dyDescent="0.45">
      <c r="A31" s="5">
        <f t="shared" si="0"/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>
        <f t="shared" si="1"/>
        <v>0</v>
      </c>
    </row>
    <row r="32" spans="1:12" hidden="1" x14ac:dyDescent="0.45">
      <c r="A32" s="5">
        <f t="shared" si="0"/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f t="shared" si="1"/>
        <v>0</v>
      </c>
    </row>
    <row r="33" spans="1:12" hidden="1" x14ac:dyDescent="0.45">
      <c r="A33" s="5">
        <f t="shared" si="0"/>
        <v>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f t="shared" si="1"/>
        <v>0</v>
      </c>
    </row>
    <row r="34" spans="1:12" hidden="1" x14ac:dyDescent="0.45">
      <c r="A34" s="5">
        <f t="shared" si="0"/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f t="shared" si="1"/>
        <v>0</v>
      </c>
    </row>
    <row r="35" spans="1:12" hidden="1" x14ac:dyDescent="0.45">
      <c r="A35" s="5">
        <f t="shared" si="0"/>
        <v>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f t="shared" si="1"/>
        <v>0</v>
      </c>
    </row>
    <row r="36" spans="1:12" hidden="1" x14ac:dyDescent="0.45">
      <c r="A36" s="5">
        <f t="shared" si="0"/>
        <v>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f t="shared" si="1"/>
        <v>0</v>
      </c>
    </row>
    <row r="37" spans="1:12" hidden="1" x14ac:dyDescent="0.45">
      <c r="A37" s="5">
        <f t="shared" si="0"/>
        <v>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>
        <f t="shared" si="1"/>
        <v>0</v>
      </c>
    </row>
    <row r="38" spans="1:12" hidden="1" x14ac:dyDescent="0.45">
      <c r="A38" s="5">
        <f t="shared" si="0"/>
        <v>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>
        <f t="shared" si="1"/>
        <v>0</v>
      </c>
    </row>
    <row r="39" spans="1:12" hidden="1" x14ac:dyDescent="0.45">
      <c r="A39" s="5">
        <f t="shared" si="0"/>
        <v>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f t="shared" si="1"/>
        <v>0</v>
      </c>
    </row>
    <row r="40" spans="1:12" hidden="1" x14ac:dyDescent="0.45">
      <c r="A40" s="5">
        <f t="shared" si="0"/>
        <v>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>
        <f t="shared" si="1"/>
        <v>0</v>
      </c>
    </row>
    <row r="41" spans="1:12" hidden="1" x14ac:dyDescent="0.45">
      <c r="A41" s="5">
        <f t="shared" si="0"/>
        <v>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f t="shared" si="1"/>
        <v>0</v>
      </c>
    </row>
    <row r="42" spans="1:12" hidden="1" x14ac:dyDescent="0.45">
      <c r="A42" s="5">
        <f t="shared" si="0"/>
        <v>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f t="shared" si="1"/>
        <v>0</v>
      </c>
    </row>
    <row r="43" spans="1:12" hidden="1" x14ac:dyDescent="0.45">
      <c r="A43" s="5">
        <f t="shared" si="0"/>
        <v>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f t="shared" si="1"/>
        <v>0</v>
      </c>
    </row>
    <row r="44" spans="1:12" hidden="1" x14ac:dyDescent="0.45">
      <c r="A44" s="5">
        <f t="shared" si="0"/>
        <v>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f t="shared" si="1"/>
        <v>0</v>
      </c>
    </row>
    <row r="45" spans="1:12" hidden="1" x14ac:dyDescent="0.45">
      <c r="A45" s="5">
        <f t="shared" si="0"/>
        <v>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f t="shared" si="1"/>
        <v>0</v>
      </c>
    </row>
    <row r="46" spans="1:12" hidden="1" x14ac:dyDescent="0.45">
      <c r="A46" s="5">
        <f t="shared" si="0"/>
        <v>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f t="shared" si="1"/>
        <v>0</v>
      </c>
    </row>
    <row r="47" spans="1:12" hidden="1" x14ac:dyDescent="0.45">
      <c r="A47" s="5">
        <f t="shared" si="0"/>
        <v>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f t="shared" si="1"/>
        <v>0</v>
      </c>
    </row>
    <row r="48" spans="1:12" hidden="1" x14ac:dyDescent="0.45">
      <c r="A48" s="5">
        <f t="shared" si="0"/>
        <v>47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f t="shared" si="1"/>
        <v>0</v>
      </c>
    </row>
    <row r="49" spans="1:12" hidden="1" x14ac:dyDescent="0.45">
      <c r="A49" s="5">
        <f t="shared" si="0"/>
        <v>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>
        <f t="shared" si="1"/>
        <v>0</v>
      </c>
    </row>
    <row r="50" spans="1:12" hidden="1" x14ac:dyDescent="0.45">
      <c r="A50" s="5">
        <f t="shared" si="0"/>
        <v>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>
        <f t="shared" si="1"/>
        <v>0</v>
      </c>
    </row>
    <row r="51" spans="1:12" hidden="1" x14ac:dyDescent="0.45">
      <c r="A51" s="5">
        <f t="shared" si="0"/>
        <v>50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>
        <f t="shared" si="1"/>
        <v>0</v>
      </c>
    </row>
    <row r="52" spans="1:12" hidden="1" x14ac:dyDescent="0.45">
      <c r="A52" s="5">
        <f t="shared" si="0"/>
        <v>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f t="shared" si="1"/>
        <v>0</v>
      </c>
    </row>
    <row r="53" spans="1:12" hidden="1" x14ac:dyDescent="0.45">
      <c r="A53" s="5">
        <f t="shared" si="0"/>
        <v>52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f t="shared" si="1"/>
        <v>0</v>
      </c>
    </row>
    <row r="54" spans="1:12" hidden="1" x14ac:dyDescent="0.45">
      <c r="A54" s="5">
        <f t="shared" si="0"/>
        <v>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>
        <f t="shared" si="1"/>
        <v>0</v>
      </c>
    </row>
    <row r="55" spans="1:12" hidden="1" x14ac:dyDescent="0.45">
      <c r="A55" s="5">
        <f t="shared" si="0"/>
        <v>54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>
        <f t="shared" si="1"/>
        <v>0</v>
      </c>
    </row>
    <row r="56" spans="1:12" hidden="1" x14ac:dyDescent="0.45">
      <c r="A56" s="5">
        <f t="shared" si="0"/>
        <v>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>
        <f t="shared" si="1"/>
        <v>0</v>
      </c>
    </row>
    <row r="57" spans="1:12" hidden="1" x14ac:dyDescent="0.45">
      <c r="A57" s="5">
        <f t="shared" si="0"/>
        <v>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>
        <f t="shared" si="1"/>
        <v>0</v>
      </c>
    </row>
    <row r="58" spans="1:12" hidden="1" x14ac:dyDescent="0.45">
      <c r="A58" s="5">
        <f t="shared" si="0"/>
        <v>57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f t="shared" si="1"/>
        <v>0</v>
      </c>
    </row>
    <row r="59" spans="1:12" hidden="1" x14ac:dyDescent="0.45">
      <c r="A59" s="5">
        <f t="shared" si="0"/>
        <v>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f t="shared" si="1"/>
        <v>0</v>
      </c>
    </row>
    <row r="60" spans="1:12" hidden="1" x14ac:dyDescent="0.45">
      <c r="A60" s="5">
        <f t="shared" si="0"/>
        <v>59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f t="shared" si="1"/>
        <v>0</v>
      </c>
    </row>
    <row r="61" spans="1:12" hidden="1" x14ac:dyDescent="0.45">
      <c r="A61" s="5">
        <f t="shared" si="0"/>
        <v>60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f t="shared" si="1"/>
        <v>0</v>
      </c>
    </row>
    <row r="62" spans="1:12" hidden="1" x14ac:dyDescent="0.45">
      <c r="A62" s="5">
        <f t="shared" si="0"/>
        <v>61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f t="shared" si="1"/>
        <v>0</v>
      </c>
    </row>
    <row r="63" spans="1:12" hidden="1" x14ac:dyDescent="0.45">
      <c r="A63" s="5">
        <f t="shared" si="0"/>
        <v>62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f t="shared" si="1"/>
        <v>0</v>
      </c>
    </row>
    <row r="64" spans="1:12" hidden="1" x14ac:dyDescent="0.45">
      <c r="A64" s="5">
        <f t="shared" si="0"/>
        <v>63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>
        <f t="shared" si="1"/>
        <v>0</v>
      </c>
    </row>
    <row r="65" spans="1:12" hidden="1" x14ac:dyDescent="0.45">
      <c r="A65" s="5">
        <f t="shared" si="0"/>
        <v>64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f t="shared" si="1"/>
        <v>0</v>
      </c>
    </row>
    <row r="66" spans="1:12" hidden="1" x14ac:dyDescent="0.45">
      <c r="A66" s="5">
        <f t="shared" ref="A66:A129" si="4">ROW(A66)-1</f>
        <v>65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f t="shared" ref="L66:L129" si="5">((F66*1.25)+(G66*1.25)+(H66*0.75)+(I66*0.25)+(J66*0.75)+(K66*0.75))/5</f>
        <v>0</v>
      </c>
    </row>
    <row r="67" spans="1:12" hidden="1" x14ac:dyDescent="0.45">
      <c r="A67" s="5">
        <f t="shared" si="4"/>
        <v>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f t="shared" si="5"/>
        <v>0</v>
      </c>
    </row>
    <row r="68" spans="1:12" hidden="1" x14ac:dyDescent="0.45">
      <c r="A68" s="5">
        <f t="shared" si="4"/>
        <v>67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f t="shared" si="5"/>
        <v>0</v>
      </c>
    </row>
    <row r="69" spans="1:12" hidden="1" x14ac:dyDescent="0.45">
      <c r="A69" s="5">
        <f t="shared" si="4"/>
        <v>68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>
        <f t="shared" si="5"/>
        <v>0</v>
      </c>
    </row>
    <row r="70" spans="1:12" hidden="1" x14ac:dyDescent="0.45">
      <c r="A70" s="5">
        <f t="shared" si="4"/>
        <v>69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f t="shared" si="5"/>
        <v>0</v>
      </c>
    </row>
    <row r="71" spans="1:12" hidden="1" x14ac:dyDescent="0.45">
      <c r="A71" s="5">
        <f t="shared" si="4"/>
        <v>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f t="shared" si="5"/>
        <v>0</v>
      </c>
    </row>
    <row r="72" spans="1:12" hidden="1" x14ac:dyDescent="0.45">
      <c r="A72" s="5">
        <f t="shared" si="4"/>
        <v>71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f t="shared" si="5"/>
        <v>0</v>
      </c>
    </row>
    <row r="73" spans="1:12" hidden="1" x14ac:dyDescent="0.45">
      <c r="A73" s="5">
        <f t="shared" si="4"/>
        <v>72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f t="shared" si="5"/>
        <v>0</v>
      </c>
    </row>
    <row r="74" spans="1:12" hidden="1" x14ac:dyDescent="0.45">
      <c r="A74" s="5">
        <f t="shared" si="4"/>
        <v>73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f t="shared" si="5"/>
        <v>0</v>
      </c>
    </row>
    <row r="75" spans="1:12" hidden="1" x14ac:dyDescent="0.45">
      <c r="A75" s="5">
        <f t="shared" si="4"/>
        <v>74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f t="shared" si="5"/>
        <v>0</v>
      </c>
    </row>
    <row r="76" spans="1:12" hidden="1" x14ac:dyDescent="0.45">
      <c r="A76" s="5">
        <f t="shared" si="4"/>
        <v>75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>
        <f t="shared" si="5"/>
        <v>0</v>
      </c>
    </row>
    <row r="77" spans="1:12" hidden="1" x14ac:dyDescent="0.45">
      <c r="A77" s="5">
        <f t="shared" si="4"/>
        <v>76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>
        <f t="shared" si="5"/>
        <v>0</v>
      </c>
    </row>
    <row r="78" spans="1:12" hidden="1" x14ac:dyDescent="0.45">
      <c r="A78" s="5">
        <f t="shared" si="4"/>
        <v>77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f t="shared" si="5"/>
        <v>0</v>
      </c>
    </row>
    <row r="79" spans="1:12" hidden="1" x14ac:dyDescent="0.45">
      <c r="A79" s="5">
        <f t="shared" si="4"/>
        <v>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>
        <f t="shared" si="5"/>
        <v>0</v>
      </c>
    </row>
    <row r="80" spans="1:12" hidden="1" x14ac:dyDescent="0.45">
      <c r="A80" s="5">
        <f t="shared" si="4"/>
        <v>79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>
        <f t="shared" si="5"/>
        <v>0</v>
      </c>
    </row>
    <row r="81" spans="1:12" hidden="1" x14ac:dyDescent="0.45">
      <c r="A81" s="5">
        <f t="shared" si="4"/>
        <v>80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>
        <f t="shared" si="5"/>
        <v>0</v>
      </c>
    </row>
    <row r="82" spans="1:12" hidden="1" x14ac:dyDescent="0.45">
      <c r="A82" s="5">
        <f t="shared" si="4"/>
        <v>81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>
        <f t="shared" si="5"/>
        <v>0</v>
      </c>
    </row>
    <row r="83" spans="1:12" hidden="1" x14ac:dyDescent="0.45">
      <c r="A83" s="5">
        <f t="shared" si="4"/>
        <v>82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>
        <f t="shared" si="5"/>
        <v>0</v>
      </c>
    </row>
    <row r="84" spans="1:12" hidden="1" x14ac:dyDescent="0.45">
      <c r="A84" s="5">
        <f t="shared" si="4"/>
        <v>83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>
        <f t="shared" si="5"/>
        <v>0</v>
      </c>
    </row>
    <row r="85" spans="1:12" hidden="1" x14ac:dyDescent="0.45">
      <c r="A85" s="5">
        <f t="shared" si="4"/>
        <v>84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f t="shared" si="5"/>
        <v>0</v>
      </c>
    </row>
    <row r="86" spans="1:12" hidden="1" x14ac:dyDescent="0.45">
      <c r="A86" s="5">
        <f t="shared" si="4"/>
        <v>85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>
        <f t="shared" si="5"/>
        <v>0</v>
      </c>
    </row>
    <row r="87" spans="1:12" hidden="1" x14ac:dyDescent="0.45">
      <c r="A87" s="5">
        <f t="shared" si="4"/>
        <v>86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>
        <f t="shared" si="5"/>
        <v>0</v>
      </c>
    </row>
    <row r="88" spans="1:12" hidden="1" x14ac:dyDescent="0.45">
      <c r="A88" s="5">
        <f t="shared" si="4"/>
        <v>87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>
        <f t="shared" si="5"/>
        <v>0</v>
      </c>
    </row>
    <row r="89" spans="1:12" hidden="1" x14ac:dyDescent="0.45">
      <c r="A89" s="5">
        <f t="shared" si="4"/>
        <v>88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f t="shared" si="5"/>
        <v>0</v>
      </c>
    </row>
    <row r="90" spans="1:12" hidden="1" x14ac:dyDescent="0.45">
      <c r="A90" s="5">
        <f t="shared" si="4"/>
        <v>89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f t="shared" si="5"/>
        <v>0</v>
      </c>
    </row>
    <row r="91" spans="1:12" hidden="1" x14ac:dyDescent="0.45">
      <c r="A91" s="5">
        <f t="shared" si="4"/>
        <v>90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f t="shared" si="5"/>
        <v>0</v>
      </c>
    </row>
    <row r="92" spans="1:12" hidden="1" x14ac:dyDescent="0.45">
      <c r="A92" s="5">
        <f t="shared" si="4"/>
        <v>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f t="shared" si="5"/>
        <v>0</v>
      </c>
    </row>
    <row r="93" spans="1:12" hidden="1" x14ac:dyDescent="0.45">
      <c r="A93" s="5">
        <f t="shared" si="4"/>
        <v>92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>
        <f t="shared" si="5"/>
        <v>0</v>
      </c>
    </row>
    <row r="94" spans="1:12" hidden="1" x14ac:dyDescent="0.45">
      <c r="A94" s="5">
        <f t="shared" si="4"/>
        <v>93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f t="shared" si="5"/>
        <v>0</v>
      </c>
    </row>
    <row r="95" spans="1:12" hidden="1" x14ac:dyDescent="0.45">
      <c r="A95" s="5">
        <f t="shared" si="4"/>
        <v>94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f t="shared" si="5"/>
        <v>0</v>
      </c>
    </row>
    <row r="96" spans="1:12" hidden="1" x14ac:dyDescent="0.45">
      <c r="A96" s="5">
        <f t="shared" si="4"/>
        <v>95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>
        <f t="shared" si="5"/>
        <v>0</v>
      </c>
    </row>
    <row r="97" spans="1:12" hidden="1" x14ac:dyDescent="0.45">
      <c r="A97" s="5">
        <f t="shared" si="4"/>
        <v>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>
        <f t="shared" si="5"/>
        <v>0</v>
      </c>
    </row>
    <row r="98" spans="1:12" hidden="1" x14ac:dyDescent="0.45">
      <c r="A98" s="5">
        <f t="shared" si="4"/>
        <v>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>
        <f t="shared" si="5"/>
        <v>0</v>
      </c>
    </row>
    <row r="99" spans="1:12" hidden="1" x14ac:dyDescent="0.45">
      <c r="A99" s="5">
        <f t="shared" si="4"/>
        <v>98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>
        <f t="shared" si="5"/>
        <v>0</v>
      </c>
    </row>
    <row r="100" spans="1:12" hidden="1" x14ac:dyDescent="0.45">
      <c r="A100" s="5">
        <f t="shared" si="4"/>
        <v>99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>
        <f t="shared" si="5"/>
        <v>0</v>
      </c>
    </row>
    <row r="101" spans="1:12" hidden="1" x14ac:dyDescent="0.45">
      <c r="A101" s="5">
        <f t="shared" si="4"/>
        <v>100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>
        <f t="shared" si="5"/>
        <v>0</v>
      </c>
    </row>
    <row r="102" spans="1:12" hidden="1" x14ac:dyDescent="0.45">
      <c r="A102" s="5">
        <f t="shared" si="4"/>
        <v>101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>
        <f t="shared" si="5"/>
        <v>0</v>
      </c>
    </row>
    <row r="103" spans="1:12" hidden="1" x14ac:dyDescent="0.45">
      <c r="A103" s="5">
        <f t="shared" si="4"/>
        <v>102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>
        <f t="shared" si="5"/>
        <v>0</v>
      </c>
    </row>
    <row r="104" spans="1:12" hidden="1" x14ac:dyDescent="0.45">
      <c r="A104" s="5">
        <f t="shared" si="4"/>
        <v>103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>
        <f t="shared" si="5"/>
        <v>0</v>
      </c>
    </row>
    <row r="105" spans="1:12" hidden="1" x14ac:dyDescent="0.45">
      <c r="A105" s="5">
        <f t="shared" si="4"/>
        <v>104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>
        <f t="shared" si="5"/>
        <v>0</v>
      </c>
    </row>
    <row r="106" spans="1:12" hidden="1" x14ac:dyDescent="0.45">
      <c r="A106" s="5">
        <f t="shared" si="4"/>
        <v>105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>
        <f t="shared" si="5"/>
        <v>0</v>
      </c>
    </row>
    <row r="107" spans="1:12" hidden="1" x14ac:dyDescent="0.45">
      <c r="A107" s="5">
        <f t="shared" si="4"/>
        <v>106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>
        <f t="shared" si="5"/>
        <v>0</v>
      </c>
    </row>
    <row r="108" spans="1:12" hidden="1" x14ac:dyDescent="0.45">
      <c r="A108" s="5">
        <f t="shared" si="4"/>
        <v>107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>
        <f t="shared" si="5"/>
        <v>0</v>
      </c>
    </row>
    <row r="109" spans="1:12" hidden="1" x14ac:dyDescent="0.45">
      <c r="A109" s="5">
        <f t="shared" si="4"/>
        <v>108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>
        <f t="shared" si="5"/>
        <v>0</v>
      </c>
    </row>
    <row r="110" spans="1:12" hidden="1" x14ac:dyDescent="0.45">
      <c r="A110" s="5">
        <f t="shared" si="4"/>
        <v>109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>
        <f t="shared" si="5"/>
        <v>0</v>
      </c>
    </row>
    <row r="111" spans="1:12" hidden="1" x14ac:dyDescent="0.45">
      <c r="A111" s="5">
        <f t="shared" si="4"/>
        <v>110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>
        <f t="shared" si="5"/>
        <v>0</v>
      </c>
    </row>
    <row r="112" spans="1:12" hidden="1" x14ac:dyDescent="0.45">
      <c r="A112" s="5">
        <f t="shared" si="4"/>
        <v>111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>
        <f t="shared" si="5"/>
        <v>0</v>
      </c>
    </row>
    <row r="113" spans="1:12" hidden="1" x14ac:dyDescent="0.45">
      <c r="A113" s="5">
        <f t="shared" si="4"/>
        <v>112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>
        <f t="shared" si="5"/>
        <v>0</v>
      </c>
    </row>
    <row r="114" spans="1:12" hidden="1" x14ac:dyDescent="0.45">
      <c r="A114" s="5">
        <f t="shared" si="4"/>
        <v>113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>
        <f t="shared" si="5"/>
        <v>0</v>
      </c>
    </row>
    <row r="115" spans="1:12" hidden="1" x14ac:dyDescent="0.45">
      <c r="A115" s="5">
        <f t="shared" si="4"/>
        <v>114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>
        <f t="shared" si="5"/>
        <v>0</v>
      </c>
    </row>
    <row r="116" spans="1:12" hidden="1" x14ac:dyDescent="0.45">
      <c r="A116" s="5">
        <f t="shared" si="4"/>
        <v>115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>
        <f t="shared" si="5"/>
        <v>0</v>
      </c>
    </row>
    <row r="117" spans="1:12" hidden="1" x14ac:dyDescent="0.45">
      <c r="A117" s="5">
        <f t="shared" si="4"/>
        <v>116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>
        <f t="shared" si="5"/>
        <v>0</v>
      </c>
    </row>
    <row r="118" spans="1:12" hidden="1" x14ac:dyDescent="0.45">
      <c r="A118" s="5">
        <f t="shared" si="4"/>
        <v>117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>
        <f t="shared" si="5"/>
        <v>0</v>
      </c>
    </row>
    <row r="119" spans="1:12" hidden="1" x14ac:dyDescent="0.45">
      <c r="A119" s="5">
        <f t="shared" si="4"/>
        <v>118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>
        <f t="shared" si="5"/>
        <v>0</v>
      </c>
    </row>
    <row r="120" spans="1:12" hidden="1" x14ac:dyDescent="0.45">
      <c r="A120" s="5">
        <f t="shared" si="4"/>
        <v>119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>
        <f t="shared" si="5"/>
        <v>0</v>
      </c>
    </row>
    <row r="121" spans="1:12" hidden="1" x14ac:dyDescent="0.45">
      <c r="A121" s="5">
        <f t="shared" si="4"/>
        <v>120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>
        <f t="shared" si="5"/>
        <v>0</v>
      </c>
    </row>
    <row r="122" spans="1:12" hidden="1" x14ac:dyDescent="0.45">
      <c r="A122" s="5">
        <f t="shared" si="4"/>
        <v>121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>
        <f t="shared" si="5"/>
        <v>0</v>
      </c>
    </row>
    <row r="123" spans="1:12" hidden="1" x14ac:dyDescent="0.45">
      <c r="A123" s="5">
        <f t="shared" si="4"/>
        <v>122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>
        <f t="shared" si="5"/>
        <v>0</v>
      </c>
    </row>
    <row r="124" spans="1:12" hidden="1" x14ac:dyDescent="0.45">
      <c r="A124" s="5">
        <f t="shared" si="4"/>
        <v>123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>
        <f t="shared" si="5"/>
        <v>0</v>
      </c>
    </row>
    <row r="125" spans="1:12" hidden="1" x14ac:dyDescent="0.45">
      <c r="A125" s="5">
        <f t="shared" si="4"/>
        <v>124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>
        <f t="shared" si="5"/>
        <v>0</v>
      </c>
    </row>
    <row r="126" spans="1:12" hidden="1" x14ac:dyDescent="0.45">
      <c r="A126" s="5">
        <f t="shared" si="4"/>
        <v>125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>
        <f t="shared" si="5"/>
        <v>0</v>
      </c>
    </row>
    <row r="127" spans="1:12" hidden="1" x14ac:dyDescent="0.45">
      <c r="A127" s="5">
        <f t="shared" si="4"/>
        <v>126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>
        <f t="shared" si="5"/>
        <v>0</v>
      </c>
    </row>
    <row r="128" spans="1:12" hidden="1" x14ac:dyDescent="0.45">
      <c r="A128" s="5">
        <f t="shared" si="4"/>
        <v>127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>
        <f t="shared" si="5"/>
        <v>0</v>
      </c>
    </row>
    <row r="129" spans="1:12" hidden="1" x14ac:dyDescent="0.45">
      <c r="A129" s="5">
        <f t="shared" si="4"/>
        <v>128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>
        <f t="shared" si="5"/>
        <v>0</v>
      </c>
    </row>
    <row r="130" spans="1:12" hidden="1" x14ac:dyDescent="0.45">
      <c r="A130" s="5">
        <f t="shared" ref="A130:A193" si="6">ROW(A130)-1</f>
        <v>129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>
        <f t="shared" ref="L130:L193" si="7">((F130*1.25)+(G130*1.25)+(H130*0.75)+(I130*0.25)+(J130*0.75)+(K130*0.75))/5</f>
        <v>0</v>
      </c>
    </row>
    <row r="131" spans="1:12" hidden="1" x14ac:dyDescent="0.45">
      <c r="A131" s="5">
        <f t="shared" si="6"/>
        <v>130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>
        <f t="shared" si="7"/>
        <v>0</v>
      </c>
    </row>
    <row r="132" spans="1:12" hidden="1" x14ac:dyDescent="0.45">
      <c r="A132" s="5">
        <f t="shared" si="6"/>
        <v>131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>
        <f t="shared" si="7"/>
        <v>0</v>
      </c>
    </row>
    <row r="133" spans="1:12" hidden="1" x14ac:dyDescent="0.45">
      <c r="A133" s="5">
        <f t="shared" si="6"/>
        <v>132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>
        <f t="shared" si="7"/>
        <v>0</v>
      </c>
    </row>
    <row r="134" spans="1:12" hidden="1" x14ac:dyDescent="0.45">
      <c r="A134" s="5">
        <f t="shared" si="6"/>
        <v>133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>
        <f t="shared" si="7"/>
        <v>0</v>
      </c>
    </row>
    <row r="135" spans="1:12" hidden="1" x14ac:dyDescent="0.45">
      <c r="A135" s="5">
        <f t="shared" si="6"/>
        <v>134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>
        <f t="shared" si="7"/>
        <v>0</v>
      </c>
    </row>
    <row r="136" spans="1:12" hidden="1" x14ac:dyDescent="0.45">
      <c r="A136" s="5">
        <f t="shared" si="6"/>
        <v>135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>
        <f t="shared" si="7"/>
        <v>0</v>
      </c>
    </row>
    <row r="137" spans="1:12" hidden="1" x14ac:dyDescent="0.45">
      <c r="A137" s="5">
        <f t="shared" si="6"/>
        <v>136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>
        <f t="shared" si="7"/>
        <v>0</v>
      </c>
    </row>
    <row r="138" spans="1:12" hidden="1" x14ac:dyDescent="0.45">
      <c r="A138" s="5">
        <f t="shared" si="6"/>
        <v>137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>
        <f t="shared" si="7"/>
        <v>0</v>
      </c>
    </row>
    <row r="139" spans="1:12" hidden="1" x14ac:dyDescent="0.45">
      <c r="A139" s="5">
        <f t="shared" si="6"/>
        <v>138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>
        <f t="shared" si="7"/>
        <v>0</v>
      </c>
    </row>
    <row r="140" spans="1:12" hidden="1" x14ac:dyDescent="0.45">
      <c r="A140" s="5">
        <f t="shared" si="6"/>
        <v>139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>
        <f t="shared" si="7"/>
        <v>0</v>
      </c>
    </row>
    <row r="141" spans="1:12" hidden="1" x14ac:dyDescent="0.45">
      <c r="A141" s="5">
        <f t="shared" si="6"/>
        <v>140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>
        <f t="shared" si="7"/>
        <v>0</v>
      </c>
    </row>
    <row r="142" spans="1:12" hidden="1" x14ac:dyDescent="0.45">
      <c r="A142" s="5">
        <f t="shared" si="6"/>
        <v>141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>
        <f t="shared" si="7"/>
        <v>0</v>
      </c>
    </row>
    <row r="143" spans="1:12" hidden="1" x14ac:dyDescent="0.45">
      <c r="A143" s="5">
        <f t="shared" si="6"/>
        <v>142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>
        <f t="shared" si="7"/>
        <v>0</v>
      </c>
    </row>
    <row r="144" spans="1:12" hidden="1" x14ac:dyDescent="0.45">
      <c r="A144" s="5">
        <f t="shared" si="6"/>
        <v>143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>
        <f t="shared" si="7"/>
        <v>0</v>
      </c>
    </row>
    <row r="145" spans="1:12" hidden="1" x14ac:dyDescent="0.45">
      <c r="A145" s="5">
        <f t="shared" si="6"/>
        <v>144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>
        <f t="shared" si="7"/>
        <v>0</v>
      </c>
    </row>
    <row r="146" spans="1:12" hidden="1" x14ac:dyDescent="0.45">
      <c r="A146" s="5">
        <f t="shared" si="6"/>
        <v>145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>
        <f t="shared" si="7"/>
        <v>0</v>
      </c>
    </row>
    <row r="147" spans="1:12" hidden="1" x14ac:dyDescent="0.45">
      <c r="A147" s="5">
        <f t="shared" si="6"/>
        <v>146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>
        <f t="shared" si="7"/>
        <v>0</v>
      </c>
    </row>
    <row r="148" spans="1:12" hidden="1" x14ac:dyDescent="0.45">
      <c r="A148" s="5">
        <f t="shared" si="6"/>
        <v>147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>
        <f t="shared" si="7"/>
        <v>0</v>
      </c>
    </row>
    <row r="149" spans="1:12" hidden="1" x14ac:dyDescent="0.45">
      <c r="A149" s="5">
        <f t="shared" si="6"/>
        <v>148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>
        <f t="shared" si="7"/>
        <v>0</v>
      </c>
    </row>
    <row r="150" spans="1:12" hidden="1" x14ac:dyDescent="0.45">
      <c r="A150" s="5">
        <f t="shared" si="6"/>
        <v>149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>
        <f t="shared" si="7"/>
        <v>0</v>
      </c>
    </row>
    <row r="151" spans="1:12" hidden="1" x14ac:dyDescent="0.45">
      <c r="A151" s="5">
        <f t="shared" si="6"/>
        <v>150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>
        <f t="shared" si="7"/>
        <v>0</v>
      </c>
    </row>
    <row r="152" spans="1:12" hidden="1" x14ac:dyDescent="0.45">
      <c r="A152" s="5">
        <f t="shared" si="6"/>
        <v>151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>
        <f t="shared" si="7"/>
        <v>0</v>
      </c>
    </row>
    <row r="153" spans="1:12" hidden="1" x14ac:dyDescent="0.45">
      <c r="A153" s="5">
        <f t="shared" si="6"/>
        <v>152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>
        <f t="shared" si="7"/>
        <v>0</v>
      </c>
    </row>
    <row r="154" spans="1:12" hidden="1" x14ac:dyDescent="0.45">
      <c r="A154" s="5">
        <f t="shared" si="6"/>
        <v>153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>
        <f t="shared" si="7"/>
        <v>0</v>
      </c>
    </row>
    <row r="155" spans="1:12" hidden="1" x14ac:dyDescent="0.45">
      <c r="A155" s="5">
        <f t="shared" si="6"/>
        <v>154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>
        <f t="shared" si="7"/>
        <v>0</v>
      </c>
    </row>
    <row r="156" spans="1:12" hidden="1" x14ac:dyDescent="0.45">
      <c r="A156" s="5">
        <f t="shared" si="6"/>
        <v>155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>
        <f t="shared" si="7"/>
        <v>0</v>
      </c>
    </row>
    <row r="157" spans="1:12" hidden="1" x14ac:dyDescent="0.45">
      <c r="A157" s="5">
        <f t="shared" si="6"/>
        <v>156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>
        <f t="shared" si="7"/>
        <v>0</v>
      </c>
    </row>
    <row r="158" spans="1:12" hidden="1" x14ac:dyDescent="0.45">
      <c r="A158" s="5">
        <f t="shared" si="6"/>
        <v>157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>
        <f t="shared" si="7"/>
        <v>0</v>
      </c>
    </row>
    <row r="159" spans="1:12" hidden="1" x14ac:dyDescent="0.45">
      <c r="A159" s="5">
        <f t="shared" si="6"/>
        <v>158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>
        <f t="shared" si="7"/>
        <v>0</v>
      </c>
    </row>
    <row r="160" spans="1:12" hidden="1" x14ac:dyDescent="0.45">
      <c r="A160" s="5">
        <f t="shared" si="6"/>
        <v>159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>
        <f t="shared" si="7"/>
        <v>0</v>
      </c>
    </row>
    <row r="161" spans="1:12" hidden="1" x14ac:dyDescent="0.45">
      <c r="A161" s="5">
        <f t="shared" si="6"/>
        <v>160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>
        <f t="shared" si="7"/>
        <v>0</v>
      </c>
    </row>
    <row r="162" spans="1:12" hidden="1" x14ac:dyDescent="0.45">
      <c r="A162" s="5">
        <f t="shared" si="6"/>
        <v>161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>
        <f t="shared" si="7"/>
        <v>0</v>
      </c>
    </row>
    <row r="163" spans="1:12" hidden="1" x14ac:dyDescent="0.45">
      <c r="A163" s="5">
        <f t="shared" si="6"/>
        <v>162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>
        <f t="shared" si="7"/>
        <v>0</v>
      </c>
    </row>
    <row r="164" spans="1:12" hidden="1" x14ac:dyDescent="0.45">
      <c r="A164" s="5">
        <f t="shared" si="6"/>
        <v>163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>
        <f t="shared" si="7"/>
        <v>0</v>
      </c>
    </row>
    <row r="165" spans="1:12" hidden="1" x14ac:dyDescent="0.45">
      <c r="A165" s="5">
        <f t="shared" si="6"/>
        <v>164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>
        <f t="shared" si="7"/>
        <v>0</v>
      </c>
    </row>
    <row r="166" spans="1:12" hidden="1" x14ac:dyDescent="0.45">
      <c r="A166" s="5">
        <f t="shared" si="6"/>
        <v>165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>
        <f t="shared" si="7"/>
        <v>0</v>
      </c>
    </row>
    <row r="167" spans="1:12" hidden="1" x14ac:dyDescent="0.45">
      <c r="A167" s="5">
        <f t="shared" si="6"/>
        <v>166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>
        <f t="shared" si="7"/>
        <v>0</v>
      </c>
    </row>
    <row r="168" spans="1:12" hidden="1" x14ac:dyDescent="0.45">
      <c r="A168" s="5">
        <f t="shared" si="6"/>
        <v>167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>
        <f t="shared" si="7"/>
        <v>0</v>
      </c>
    </row>
    <row r="169" spans="1:12" hidden="1" x14ac:dyDescent="0.45">
      <c r="A169" s="5">
        <f t="shared" si="6"/>
        <v>168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>
        <f t="shared" si="7"/>
        <v>0</v>
      </c>
    </row>
    <row r="170" spans="1:12" hidden="1" x14ac:dyDescent="0.45">
      <c r="A170" s="5">
        <f t="shared" si="6"/>
        <v>169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>
        <f t="shared" si="7"/>
        <v>0</v>
      </c>
    </row>
    <row r="171" spans="1:12" hidden="1" x14ac:dyDescent="0.45">
      <c r="A171" s="5">
        <f t="shared" si="6"/>
        <v>170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>
        <f t="shared" si="7"/>
        <v>0</v>
      </c>
    </row>
    <row r="172" spans="1:12" hidden="1" x14ac:dyDescent="0.45">
      <c r="A172" s="5">
        <f t="shared" si="6"/>
        <v>171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>
        <f t="shared" si="7"/>
        <v>0</v>
      </c>
    </row>
    <row r="173" spans="1:12" hidden="1" x14ac:dyDescent="0.45">
      <c r="A173" s="5">
        <f t="shared" si="6"/>
        <v>172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>
        <f t="shared" si="7"/>
        <v>0</v>
      </c>
    </row>
    <row r="174" spans="1:12" hidden="1" x14ac:dyDescent="0.45">
      <c r="A174" s="5">
        <f t="shared" si="6"/>
        <v>173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>
        <f t="shared" si="7"/>
        <v>0</v>
      </c>
    </row>
    <row r="175" spans="1:12" hidden="1" x14ac:dyDescent="0.45">
      <c r="A175" s="5">
        <f t="shared" si="6"/>
        <v>174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>
        <f t="shared" si="7"/>
        <v>0</v>
      </c>
    </row>
    <row r="176" spans="1:12" hidden="1" x14ac:dyDescent="0.45">
      <c r="A176" s="5">
        <f t="shared" si="6"/>
        <v>175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>
        <f t="shared" si="7"/>
        <v>0</v>
      </c>
    </row>
    <row r="177" spans="1:12" hidden="1" x14ac:dyDescent="0.45">
      <c r="A177" s="5">
        <f t="shared" si="6"/>
        <v>176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>
        <f t="shared" si="7"/>
        <v>0</v>
      </c>
    </row>
    <row r="178" spans="1:12" hidden="1" x14ac:dyDescent="0.45">
      <c r="A178" s="5">
        <f t="shared" si="6"/>
        <v>177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>
        <f t="shared" si="7"/>
        <v>0</v>
      </c>
    </row>
    <row r="179" spans="1:12" hidden="1" x14ac:dyDescent="0.45">
      <c r="A179" s="5">
        <f t="shared" si="6"/>
        <v>178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>
        <f t="shared" si="7"/>
        <v>0</v>
      </c>
    </row>
    <row r="180" spans="1:12" hidden="1" x14ac:dyDescent="0.45">
      <c r="A180" s="5">
        <f t="shared" si="6"/>
        <v>179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>
        <f t="shared" si="7"/>
        <v>0</v>
      </c>
    </row>
    <row r="181" spans="1:12" hidden="1" x14ac:dyDescent="0.45">
      <c r="A181" s="5">
        <f t="shared" si="6"/>
        <v>180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>
        <f t="shared" si="7"/>
        <v>0</v>
      </c>
    </row>
    <row r="182" spans="1:12" hidden="1" x14ac:dyDescent="0.45">
      <c r="A182" s="5">
        <f t="shared" si="6"/>
        <v>181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>
        <f t="shared" si="7"/>
        <v>0</v>
      </c>
    </row>
    <row r="183" spans="1:12" hidden="1" x14ac:dyDescent="0.45">
      <c r="A183" s="5">
        <f t="shared" si="6"/>
        <v>182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>
        <f t="shared" si="7"/>
        <v>0</v>
      </c>
    </row>
    <row r="184" spans="1:12" hidden="1" x14ac:dyDescent="0.45">
      <c r="A184" s="5">
        <f t="shared" si="6"/>
        <v>183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>
        <f t="shared" si="7"/>
        <v>0</v>
      </c>
    </row>
    <row r="185" spans="1:12" hidden="1" x14ac:dyDescent="0.45">
      <c r="A185" s="5">
        <f t="shared" si="6"/>
        <v>184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>
        <f t="shared" si="7"/>
        <v>0</v>
      </c>
    </row>
    <row r="186" spans="1:12" hidden="1" x14ac:dyDescent="0.45">
      <c r="A186" s="5">
        <f t="shared" si="6"/>
        <v>185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>
        <f t="shared" si="7"/>
        <v>0</v>
      </c>
    </row>
    <row r="187" spans="1:12" hidden="1" x14ac:dyDescent="0.45">
      <c r="A187" s="5">
        <f t="shared" si="6"/>
        <v>186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>
        <f t="shared" si="7"/>
        <v>0</v>
      </c>
    </row>
    <row r="188" spans="1:12" hidden="1" x14ac:dyDescent="0.45">
      <c r="A188" s="5">
        <f t="shared" si="6"/>
        <v>187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>
        <f t="shared" si="7"/>
        <v>0</v>
      </c>
    </row>
    <row r="189" spans="1:12" hidden="1" x14ac:dyDescent="0.45">
      <c r="A189" s="5">
        <f t="shared" si="6"/>
        <v>188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>
        <f t="shared" si="7"/>
        <v>0</v>
      </c>
    </row>
    <row r="190" spans="1:12" hidden="1" x14ac:dyDescent="0.45">
      <c r="A190" s="5">
        <f t="shared" si="6"/>
        <v>189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>
        <f t="shared" si="7"/>
        <v>0</v>
      </c>
    </row>
    <row r="191" spans="1:12" hidden="1" x14ac:dyDescent="0.45">
      <c r="A191" s="5">
        <f t="shared" si="6"/>
        <v>190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>
        <f t="shared" si="7"/>
        <v>0</v>
      </c>
    </row>
    <row r="192" spans="1:12" hidden="1" x14ac:dyDescent="0.45">
      <c r="A192" s="5">
        <f t="shared" si="6"/>
        <v>191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>
        <f t="shared" si="7"/>
        <v>0</v>
      </c>
    </row>
    <row r="193" spans="1:12" hidden="1" x14ac:dyDescent="0.45">
      <c r="A193" s="5">
        <f t="shared" si="6"/>
        <v>192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>
        <f t="shared" si="7"/>
        <v>0</v>
      </c>
    </row>
    <row r="194" spans="1:12" hidden="1" x14ac:dyDescent="0.45">
      <c r="A194" s="5">
        <f t="shared" ref="A194:A257" si="8">ROW(A194)-1</f>
        <v>193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>
        <f t="shared" ref="L194:L257" si="9">((F194*1.25)+(G194*1.25)+(H194*0.75)+(I194*0.25)+(J194*0.75)+(K194*0.75))/5</f>
        <v>0</v>
      </c>
    </row>
    <row r="195" spans="1:12" hidden="1" x14ac:dyDescent="0.45">
      <c r="A195" s="5">
        <f t="shared" si="8"/>
        <v>194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>
        <f t="shared" si="9"/>
        <v>0</v>
      </c>
    </row>
    <row r="196" spans="1:12" hidden="1" x14ac:dyDescent="0.45">
      <c r="A196" s="5">
        <f t="shared" si="8"/>
        <v>195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>
        <f t="shared" si="9"/>
        <v>0</v>
      </c>
    </row>
    <row r="197" spans="1:12" hidden="1" x14ac:dyDescent="0.45">
      <c r="A197" s="5">
        <f t="shared" si="8"/>
        <v>196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>
        <f t="shared" si="9"/>
        <v>0</v>
      </c>
    </row>
    <row r="198" spans="1:12" hidden="1" x14ac:dyDescent="0.45">
      <c r="A198" s="5">
        <f t="shared" si="8"/>
        <v>197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>
        <f t="shared" si="9"/>
        <v>0</v>
      </c>
    </row>
    <row r="199" spans="1:12" hidden="1" x14ac:dyDescent="0.45">
      <c r="A199" s="5">
        <f t="shared" si="8"/>
        <v>198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>
        <f t="shared" si="9"/>
        <v>0</v>
      </c>
    </row>
    <row r="200" spans="1:12" hidden="1" x14ac:dyDescent="0.45">
      <c r="A200" s="5">
        <f t="shared" si="8"/>
        <v>199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>
        <f t="shared" si="9"/>
        <v>0</v>
      </c>
    </row>
    <row r="201" spans="1:12" hidden="1" x14ac:dyDescent="0.45">
      <c r="A201" s="5">
        <f t="shared" si="8"/>
        <v>200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>
        <f t="shared" si="9"/>
        <v>0</v>
      </c>
    </row>
    <row r="202" spans="1:12" hidden="1" x14ac:dyDescent="0.45">
      <c r="A202" s="5">
        <f t="shared" si="8"/>
        <v>201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>
        <f t="shared" si="9"/>
        <v>0</v>
      </c>
    </row>
    <row r="203" spans="1:12" hidden="1" x14ac:dyDescent="0.45">
      <c r="A203" s="5">
        <f t="shared" si="8"/>
        <v>202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>
        <f t="shared" si="9"/>
        <v>0</v>
      </c>
    </row>
    <row r="204" spans="1:12" hidden="1" x14ac:dyDescent="0.45">
      <c r="A204" s="5">
        <f t="shared" si="8"/>
        <v>203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>
        <f t="shared" si="9"/>
        <v>0</v>
      </c>
    </row>
    <row r="205" spans="1:12" hidden="1" x14ac:dyDescent="0.45">
      <c r="A205" s="5">
        <f t="shared" si="8"/>
        <v>204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>
        <f t="shared" si="9"/>
        <v>0</v>
      </c>
    </row>
    <row r="206" spans="1:12" hidden="1" x14ac:dyDescent="0.45">
      <c r="A206" s="5">
        <f t="shared" si="8"/>
        <v>205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>
        <f t="shared" si="9"/>
        <v>0</v>
      </c>
    </row>
    <row r="207" spans="1:12" hidden="1" x14ac:dyDescent="0.45">
      <c r="A207" s="5">
        <f t="shared" si="8"/>
        <v>206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>
        <f t="shared" si="9"/>
        <v>0</v>
      </c>
    </row>
    <row r="208" spans="1:12" hidden="1" x14ac:dyDescent="0.45">
      <c r="A208" s="5">
        <f t="shared" si="8"/>
        <v>207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>
        <f t="shared" si="9"/>
        <v>0</v>
      </c>
    </row>
    <row r="209" spans="1:12" hidden="1" x14ac:dyDescent="0.45">
      <c r="A209" s="5">
        <f t="shared" si="8"/>
        <v>208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>
        <f t="shared" si="9"/>
        <v>0</v>
      </c>
    </row>
    <row r="210" spans="1:12" hidden="1" x14ac:dyDescent="0.45">
      <c r="A210" s="5">
        <f t="shared" si="8"/>
        <v>209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>
        <f t="shared" si="9"/>
        <v>0</v>
      </c>
    </row>
    <row r="211" spans="1:12" hidden="1" x14ac:dyDescent="0.45">
      <c r="A211" s="5">
        <f t="shared" si="8"/>
        <v>210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>
        <f t="shared" si="9"/>
        <v>0</v>
      </c>
    </row>
    <row r="212" spans="1:12" hidden="1" x14ac:dyDescent="0.45">
      <c r="A212" s="5">
        <f t="shared" si="8"/>
        <v>211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>
        <f t="shared" si="9"/>
        <v>0</v>
      </c>
    </row>
    <row r="213" spans="1:12" hidden="1" x14ac:dyDescent="0.45">
      <c r="A213" s="5">
        <f t="shared" si="8"/>
        <v>212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>
        <f t="shared" si="9"/>
        <v>0</v>
      </c>
    </row>
    <row r="214" spans="1:12" hidden="1" x14ac:dyDescent="0.45">
      <c r="A214" s="5">
        <f t="shared" si="8"/>
        <v>213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>
        <f t="shared" si="9"/>
        <v>0</v>
      </c>
    </row>
    <row r="215" spans="1:12" hidden="1" x14ac:dyDescent="0.45">
      <c r="A215" s="5">
        <f t="shared" si="8"/>
        <v>214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>
        <f t="shared" si="9"/>
        <v>0</v>
      </c>
    </row>
    <row r="216" spans="1:12" hidden="1" x14ac:dyDescent="0.45">
      <c r="A216" s="5">
        <f t="shared" si="8"/>
        <v>215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>
        <f t="shared" si="9"/>
        <v>0</v>
      </c>
    </row>
    <row r="217" spans="1:12" hidden="1" x14ac:dyDescent="0.45">
      <c r="A217" s="5">
        <f t="shared" si="8"/>
        <v>216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>
        <f t="shared" si="9"/>
        <v>0</v>
      </c>
    </row>
    <row r="218" spans="1:12" hidden="1" x14ac:dyDescent="0.45">
      <c r="A218" s="5">
        <f t="shared" si="8"/>
        <v>217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>
        <f t="shared" si="9"/>
        <v>0</v>
      </c>
    </row>
    <row r="219" spans="1:12" hidden="1" x14ac:dyDescent="0.45">
      <c r="A219" s="5">
        <f t="shared" si="8"/>
        <v>218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>
        <f t="shared" si="9"/>
        <v>0</v>
      </c>
    </row>
    <row r="220" spans="1:12" hidden="1" x14ac:dyDescent="0.45">
      <c r="A220" s="5">
        <f t="shared" si="8"/>
        <v>219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>
        <f t="shared" si="9"/>
        <v>0</v>
      </c>
    </row>
    <row r="221" spans="1:12" hidden="1" x14ac:dyDescent="0.45">
      <c r="A221" s="5">
        <f t="shared" si="8"/>
        <v>220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>
        <f t="shared" si="9"/>
        <v>0</v>
      </c>
    </row>
    <row r="222" spans="1:12" hidden="1" x14ac:dyDescent="0.45">
      <c r="A222" s="5">
        <f t="shared" si="8"/>
        <v>221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>
        <f t="shared" si="9"/>
        <v>0</v>
      </c>
    </row>
    <row r="223" spans="1:12" hidden="1" x14ac:dyDescent="0.45">
      <c r="A223" s="5">
        <f t="shared" si="8"/>
        <v>222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>
        <f t="shared" si="9"/>
        <v>0</v>
      </c>
    </row>
    <row r="224" spans="1:12" hidden="1" x14ac:dyDescent="0.45">
      <c r="A224" s="5">
        <f t="shared" si="8"/>
        <v>223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>
        <f t="shared" si="9"/>
        <v>0</v>
      </c>
    </row>
    <row r="225" spans="1:12" hidden="1" x14ac:dyDescent="0.45">
      <c r="A225" s="5">
        <f t="shared" si="8"/>
        <v>224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>
        <f t="shared" si="9"/>
        <v>0</v>
      </c>
    </row>
    <row r="226" spans="1:12" hidden="1" x14ac:dyDescent="0.45">
      <c r="A226" s="5">
        <f t="shared" si="8"/>
        <v>225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>
        <f t="shared" si="9"/>
        <v>0</v>
      </c>
    </row>
    <row r="227" spans="1:12" hidden="1" x14ac:dyDescent="0.45">
      <c r="A227" s="5">
        <f t="shared" si="8"/>
        <v>226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>
        <f t="shared" si="9"/>
        <v>0</v>
      </c>
    </row>
    <row r="228" spans="1:12" hidden="1" x14ac:dyDescent="0.45">
      <c r="A228" s="5">
        <f t="shared" si="8"/>
        <v>227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>
        <f t="shared" si="9"/>
        <v>0</v>
      </c>
    </row>
    <row r="229" spans="1:12" hidden="1" x14ac:dyDescent="0.45">
      <c r="A229" s="5">
        <f t="shared" si="8"/>
        <v>228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>
        <f t="shared" si="9"/>
        <v>0</v>
      </c>
    </row>
    <row r="230" spans="1:12" hidden="1" x14ac:dyDescent="0.45">
      <c r="A230" s="5">
        <f t="shared" si="8"/>
        <v>229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>
        <f t="shared" si="9"/>
        <v>0</v>
      </c>
    </row>
    <row r="231" spans="1:12" hidden="1" x14ac:dyDescent="0.45">
      <c r="A231" s="5">
        <f t="shared" si="8"/>
        <v>230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>
        <f t="shared" si="9"/>
        <v>0</v>
      </c>
    </row>
    <row r="232" spans="1:12" hidden="1" x14ac:dyDescent="0.45">
      <c r="A232" s="5">
        <f t="shared" si="8"/>
        <v>231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>
        <f t="shared" si="9"/>
        <v>0</v>
      </c>
    </row>
    <row r="233" spans="1:12" hidden="1" x14ac:dyDescent="0.45">
      <c r="A233" s="5">
        <f t="shared" si="8"/>
        <v>232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>
        <f t="shared" si="9"/>
        <v>0</v>
      </c>
    </row>
    <row r="234" spans="1:12" hidden="1" x14ac:dyDescent="0.45">
      <c r="A234" s="5">
        <f t="shared" si="8"/>
        <v>233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>
        <f t="shared" si="9"/>
        <v>0</v>
      </c>
    </row>
    <row r="235" spans="1:12" hidden="1" x14ac:dyDescent="0.45">
      <c r="A235" s="5">
        <f t="shared" si="8"/>
        <v>234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>
        <f t="shared" si="9"/>
        <v>0</v>
      </c>
    </row>
    <row r="236" spans="1:12" hidden="1" x14ac:dyDescent="0.45">
      <c r="A236" s="5">
        <f t="shared" si="8"/>
        <v>235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>
        <f t="shared" si="9"/>
        <v>0</v>
      </c>
    </row>
    <row r="237" spans="1:12" hidden="1" x14ac:dyDescent="0.45">
      <c r="A237" s="5">
        <f t="shared" si="8"/>
        <v>236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>
        <f t="shared" si="9"/>
        <v>0</v>
      </c>
    </row>
    <row r="238" spans="1:12" hidden="1" x14ac:dyDescent="0.45">
      <c r="A238" s="5">
        <f t="shared" si="8"/>
        <v>237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>
        <f t="shared" si="9"/>
        <v>0</v>
      </c>
    </row>
    <row r="239" spans="1:12" hidden="1" x14ac:dyDescent="0.45">
      <c r="A239" s="5">
        <f t="shared" si="8"/>
        <v>238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>
        <f t="shared" si="9"/>
        <v>0</v>
      </c>
    </row>
    <row r="240" spans="1:12" hidden="1" x14ac:dyDescent="0.45">
      <c r="A240" s="5">
        <f t="shared" si="8"/>
        <v>239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>
        <f t="shared" si="9"/>
        <v>0</v>
      </c>
    </row>
    <row r="241" spans="1:12" hidden="1" x14ac:dyDescent="0.45">
      <c r="A241" s="5">
        <f t="shared" si="8"/>
        <v>240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>
        <f t="shared" si="9"/>
        <v>0</v>
      </c>
    </row>
    <row r="242" spans="1:12" hidden="1" x14ac:dyDescent="0.45">
      <c r="A242" s="5">
        <f t="shared" si="8"/>
        <v>241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>
        <f t="shared" si="9"/>
        <v>0</v>
      </c>
    </row>
    <row r="243" spans="1:12" hidden="1" x14ac:dyDescent="0.45">
      <c r="A243" s="5">
        <f t="shared" si="8"/>
        <v>242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>
        <f t="shared" si="9"/>
        <v>0</v>
      </c>
    </row>
    <row r="244" spans="1:12" hidden="1" x14ac:dyDescent="0.45">
      <c r="A244" s="5">
        <f t="shared" si="8"/>
        <v>243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>
        <f t="shared" si="9"/>
        <v>0</v>
      </c>
    </row>
    <row r="245" spans="1:12" hidden="1" x14ac:dyDescent="0.45">
      <c r="A245" s="5">
        <f t="shared" si="8"/>
        <v>244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>
        <f t="shared" si="9"/>
        <v>0</v>
      </c>
    </row>
    <row r="246" spans="1:12" hidden="1" x14ac:dyDescent="0.45">
      <c r="A246" s="5">
        <f t="shared" si="8"/>
        <v>245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>
        <f t="shared" si="9"/>
        <v>0</v>
      </c>
    </row>
    <row r="247" spans="1:12" hidden="1" x14ac:dyDescent="0.45">
      <c r="A247" s="5">
        <f t="shared" si="8"/>
        <v>246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>
        <f t="shared" si="9"/>
        <v>0</v>
      </c>
    </row>
    <row r="248" spans="1:12" hidden="1" x14ac:dyDescent="0.45">
      <c r="A248" s="5">
        <f t="shared" si="8"/>
        <v>247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>
        <f t="shared" si="9"/>
        <v>0</v>
      </c>
    </row>
    <row r="249" spans="1:12" hidden="1" x14ac:dyDescent="0.45">
      <c r="A249" s="5">
        <f t="shared" si="8"/>
        <v>248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>
        <f t="shared" si="9"/>
        <v>0</v>
      </c>
    </row>
    <row r="250" spans="1:12" hidden="1" x14ac:dyDescent="0.45">
      <c r="A250" s="5">
        <f t="shared" si="8"/>
        <v>249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>
        <f t="shared" si="9"/>
        <v>0</v>
      </c>
    </row>
    <row r="251" spans="1:12" hidden="1" x14ac:dyDescent="0.45">
      <c r="A251" s="5">
        <f t="shared" si="8"/>
        <v>250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>
        <f t="shared" si="9"/>
        <v>0</v>
      </c>
    </row>
    <row r="252" spans="1:12" hidden="1" x14ac:dyDescent="0.45">
      <c r="A252" s="5">
        <f t="shared" si="8"/>
        <v>251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>
        <f t="shared" si="9"/>
        <v>0</v>
      </c>
    </row>
    <row r="253" spans="1:12" hidden="1" x14ac:dyDescent="0.45">
      <c r="A253" s="5">
        <f t="shared" si="8"/>
        <v>252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>
        <f t="shared" si="9"/>
        <v>0</v>
      </c>
    </row>
    <row r="254" spans="1:12" hidden="1" x14ac:dyDescent="0.45">
      <c r="A254" s="5">
        <f t="shared" si="8"/>
        <v>253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>
        <f t="shared" si="9"/>
        <v>0</v>
      </c>
    </row>
    <row r="255" spans="1:12" hidden="1" x14ac:dyDescent="0.45">
      <c r="A255" s="5">
        <f t="shared" si="8"/>
        <v>254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>
        <f t="shared" si="9"/>
        <v>0</v>
      </c>
    </row>
    <row r="256" spans="1:12" hidden="1" x14ac:dyDescent="0.45">
      <c r="A256" s="5">
        <f t="shared" si="8"/>
        <v>255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>
        <f t="shared" si="9"/>
        <v>0</v>
      </c>
    </row>
    <row r="257" spans="1:12" hidden="1" x14ac:dyDescent="0.45">
      <c r="A257" s="5">
        <f t="shared" si="8"/>
        <v>256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>
        <f t="shared" si="9"/>
        <v>0</v>
      </c>
    </row>
    <row r="258" spans="1:12" hidden="1" x14ac:dyDescent="0.45">
      <c r="A258" s="5">
        <f t="shared" ref="A258:A321" si="10">ROW(A258)-1</f>
        <v>257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>
        <f t="shared" ref="L258:L321" si="11">((F258*1.25)+(G258*1.25)+(H258*0.75)+(I258*0.25)+(J258*0.75)+(K258*0.75))/5</f>
        <v>0</v>
      </c>
    </row>
    <row r="259" spans="1:12" hidden="1" x14ac:dyDescent="0.45">
      <c r="A259" s="5">
        <f t="shared" si="10"/>
        <v>258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>
        <f t="shared" si="11"/>
        <v>0</v>
      </c>
    </row>
    <row r="260" spans="1:12" hidden="1" x14ac:dyDescent="0.45">
      <c r="A260" s="5">
        <f t="shared" si="10"/>
        <v>259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>
        <f t="shared" si="11"/>
        <v>0</v>
      </c>
    </row>
    <row r="261" spans="1:12" hidden="1" x14ac:dyDescent="0.45">
      <c r="A261" s="5">
        <f t="shared" si="10"/>
        <v>260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>
        <f t="shared" si="11"/>
        <v>0</v>
      </c>
    </row>
    <row r="262" spans="1:12" hidden="1" x14ac:dyDescent="0.45">
      <c r="A262" s="5">
        <f t="shared" si="10"/>
        <v>261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>
        <f t="shared" si="11"/>
        <v>0</v>
      </c>
    </row>
    <row r="263" spans="1:12" hidden="1" x14ac:dyDescent="0.45">
      <c r="A263" s="5">
        <f t="shared" si="10"/>
        <v>262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>
        <f t="shared" si="11"/>
        <v>0</v>
      </c>
    </row>
    <row r="264" spans="1:12" hidden="1" x14ac:dyDescent="0.45">
      <c r="A264" s="5">
        <f t="shared" si="10"/>
        <v>263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>
        <f t="shared" si="11"/>
        <v>0</v>
      </c>
    </row>
    <row r="265" spans="1:12" hidden="1" x14ac:dyDescent="0.45">
      <c r="A265" s="5">
        <f t="shared" si="10"/>
        <v>264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>
        <f t="shared" si="11"/>
        <v>0</v>
      </c>
    </row>
    <row r="266" spans="1:12" hidden="1" x14ac:dyDescent="0.45">
      <c r="A266" s="5">
        <f t="shared" si="10"/>
        <v>265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>
        <f t="shared" si="11"/>
        <v>0</v>
      </c>
    </row>
    <row r="267" spans="1:12" hidden="1" x14ac:dyDescent="0.45">
      <c r="A267" s="5">
        <f t="shared" si="10"/>
        <v>266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>
        <f t="shared" si="11"/>
        <v>0</v>
      </c>
    </row>
    <row r="268" spans="1:12" hidden="1" x14ac:dyDescent="0.45">
      <c r="A268" s="5">
        <f t="shared" si="10"/>
        <v>267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>
        <f t="shared" si="11"/>
        <v>0</v>
      </c>
    </row>
    <row r="269" spans="1:12" hidden="1" x14ac:dyDescent="0.45">
      <c r="A269" s="5">
        <f t="shared" si="10"/>
        <v>268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>
        <f t="shared" si="11"/>
        <v>0</v>
      </c>
    </row>
    <row r="270" spans="1:12" hidden="1" x14ac:dyDescent="0.45">
      <c r="A270" s="5">
        <f t="shared" si="10"/>
        <v>269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>
        <f t="shared" si="11"/>
        <v>0</v>
      </c>
    </row>
    <row r="271" spans="1:12" hidden="1" x14ac:dyDescent="0.45">
      <c r="A271" s="5">
        <f t="shared" si="10"/>
        <v>270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>
        <f t="shared" si="11"/>
        <v>0</v>
      </c>
    </row>
    <row r="272" spans="1:12" hidden="1" x14ac:dyDescent="0.45">
      <c r="A272" s="5">
        <f t="shared" si="10"/>
        <v>271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>
        <f t="shared" si="11"/>
        <v>0</v>
      </c>
    </row>
    <row r="273" spans="1:12" hidden="1" x14ac:dyDescent="0.45">
      <c r="A273" s="5">
        <f t="shared" si="10"/>
        <v>272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>
        <f t="shared" si="11"/>
        <v>0</v>
      </c>
    </row>
    <row r="274" spans="1:12" hidden="1" x14ac:dyDescent="0.45">
      <c r="A274" s="5">
        <f t="shared" si="10"/>
        <v>273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>
        <f t="shared" si="11"/>
        <v>0</v>
      </c>
    </row>
    <row r="275" spans="1:12" hidden="1" x14ac:dyDescent="0.45">
      <c r="A275" s="5">
        <f t="shared" si="10"/>
        <v>274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>
        <f t="shared" si="11"/>
        <v>0</v>
      </c>
    </row>
    <row r="276" spans="1:12" hidden="1" x14ac:dyDescent="0.45">
      <c r="A276" s="5">
        <f t="shared" si="10"/>
        <v>275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>
        <f t="shared" si="11"/>
        <v>0</v>
      </c>
    </row>
    <row r="277" spans="1:12" hidden="1" x14ac:dyDescent="0.45">
      <c r="A277" s="5">
        <f t="shared" si="10"/>
        <v>276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>
        <f t="shared" si="11"/>
        <v>0</v>
      </c>
    </row>
    <row r="278" spans="1:12" hidden="1" x14ac:dyDescent="0.45">
      <c r="A278" s="5">
        <f t="shared" si="10"/>
        <v>277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>
        <f t="shared" si="11"/>
        <v>0</v>
      </c>
    </row>
    <row r="279" spans="1:12" hidden="1" x14ac:dyDescent="0.45">
      <c r="A279" s="5">
        <f t="shared" si="10"/>
        <v>278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>
        <f t="shared" si="11"/>
        <v>0</v>
      </c>
    </row>
    <row r="280" spans="1:12" hidden="1" x14ac:dyDescent="0.45">
      <c r="A280" s="5">
        <f t="shared" si="10"/>
        <v>279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>
        <f t="shared" si="11"/>
        <v>0</v>
      </c>
    </row>
    <row r="281" spans="1:12" hidden="1" x14ac:dyDescent="0.45">
      <c r="A281" s="5">
        <f t="shared" si="10"/>
        <v>280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>
        <f t="shared" si="11"/>
        <v>0</v>
      </c>
    </row>
    <row r="282" spans="1:12" hidden="1" x14ac:dyDescent="0.45">
      <c r="A282" s="5">
        <f t="shared" si="10"/>
        <v>281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>
        <f t="shared" si="11"/>
        <v>0</v>
      </c>
    </row>
    <row r="283" spans="1:12" hidden="1" x14ac:dyDescent="0.45">
      <c r="A283" s="5">
        <f t="shared" si="10"/>
        <v>282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>
        <f t="shared" si="11"/>
        <v>0</v>
      </c>
    </row>
    <row r="284" spans="1:12" hidden="1" x14ac:dyDescent="0.45">
      <c r="A284" s="5">
        <f t="shared" si="10"/>
        <v>283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>
        <f t="shared" si="11"/>
        <v>0</v>
      </c>
    </row>
    <row r="285" spans="1:12" hidden="1" x14ac:dyDescent="0.45">
      <c r="A285" s="5">
        <f t="shared" si="10"/>
        <v>284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>
        <f t="shared" si="11"/>
        <v>0</v>
      </c>
    </row>
    <row r="286" spans="1:12" hidden="1" x14ac:dyDescent="0.45">
      <c r="A286" s="5">
        <f t="shared" si="10"/>
        <v>285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>
        <f t="shared" si="11"/>
        <v>0</v>
      </c>
    </row>
    <row r="287" spans="1:12" hidden="1" x14ac:dyDescent="0.45">
      <c r="A287" s="5">
        <f t="shared" si="10"/>
        <v>286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>
        <f t="shared" si="11"/>
        <v>0</v>
      </c>
    </row>
    <row r="288" spans="1:12" hidden="1" x14ac:dyDescent="0.45">
      <c r="A288" s="5">
        <f t="shared" si="10"/>
        <v>287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>
        <f t="shared" si="11"/>
        <v>0</v>
      </c>
    </row>
    <row r="289" spans="1:12" hidden="1" x14ac:dyDescent="0.45">
      <c r="A289" s="5">
        <f t="shared" si="10"/>
        <v>288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>
        <f t="shared" si="11"/>
        <v>0</v>
      </c>
    </row>
    <row r="290" spans="1:12" hidden="1" x14ac:dyDescent="0.45">
      <c r="A290" s="5">
        <f t="shared" si="10"/>
        <v>289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>
        <f t="shared" si="11"/>
        <v>0</v>
      </c>
    </row>
    <row r="291" spans="1:12" hidden="1" x14ac:dyDescent="0.45">
      <c r="A291" s="5">
        <f t="shared" si="10"/>
        <v>290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>
        <f t="shared" si="11"/>
        <v>0</v>
      </c>
    </row>
    <row r="292" spans="1:12" hidden="1" x14ac:dyDescent="0.45">
      <c r="A292" s="5">
        <f t="shared" si="10"/>
        <v>291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>
        <f t="shared" si="11"/>
        <v>0</v>
      </c>
    </row>
    <row r="293" spans="1:12" hidden="1" x14ac:dyDescent="0.45">
      <c r="A293" s="5">
        <f t="shared" si="10"/>
        <v>292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>
        <f t="shared" si="11"/>
        <v>0</v>
      </c>
    </row>
    <row r="294" spans="1:12" hidden="1" x14ac:dyDescent="0.45">
      <c r="A294" s="5">
        <f t="shared" si="10"/>
        <v>293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>
        <f t="shared" si="11"/>
        <v>0</v>
      </c>
    </row>
    <row r="295" spans="1:12" hidden="1" x14ac:dyDescent="0.45">
      <c r="A295" s="5">
        <f t="shared" si="10"/>
        <v>294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>
        <f t="shared" si="11"/>
        <v>0</v>
      </c>
    </row>
    <row r="296" spans="1:12" hidden="1" x14ac:dyDescent="0.45">
      <c r="A296" s="5">
        <f t="shared" si="10"/>
        <v>295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>
        <f t="shared" si="11"/>
        <v>0</v>
      </c>
    </row>
    <row r="297" spans="1:12" hidden="1" x14ac:dyDescent="0.45">
      <c r="A297" s="5">
        <f t="shared" si="10"/>
        <v>296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>
        <f t="shared" si="11"/>
        <v>0</v>
      </c>
    </row>
    <row r="298" spans="1:12" hidden="1" x14ac:dyDescent="0.45">
      <c r="A298" s="5">
        <f t="shared" si="10"/>
        <v>297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>
        <f t="shared" si="11"/>
        <v>0</v>
      </c>
    </row>
    <row r="299" spans="1:12" hidden="1" x14ac:dyDescent="0.45">
      <c r="A299" s="5">
        <f t="shared" si="10"/>
        <v>298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>
        <f t="shared" si="11"/>
        <v>0</v>
      </c>
    </row>
    <row r="300" spans="1:12" hidden="1" x14ac:dyDescent="0.45">
      <c r="A300" s="5">
        <f t="shared" si="10"/>
        <v>299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>
        <f t="shared" si="11"/>
        <v>0</v>
      </c>
    </row>
    <row r="301" spans="1:12" hidden="1" x14ac:dyDescent="0.45">
      <c r="A301" s="5">
        <f t="shared" si="10"/>
        <v>300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>
        <f t="shared" si="11"/>
        <v>0</v>
      </c>
    </row>
    <row r="302" spans="1:12" hidden="1" x14ac:dyDescent="0.45">
      <c r="A302" s="5">
        <f t="shared" si="10"/>
        <v>301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>
        <f t="shared" si="11"/>
        <v>0</v>
      </c>
    </row>
    <row r="303" spans="1:12" hidden="1" x14ac:dyDescent="0.45">
      <c r="A303" s="5">
        <f t="shared" si="10"/>
        <v>302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>
        <f t="shared" si="11"/>
        <v>0</v>
      </c>
    </row>
    <row r="304" spans="1:12" hidden="1" x14ac:dyDescent="0.45">
      <c r="A304" s="5">
        <f t="shared" si="10"/>
        <v>303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>
        <f t="shared" si="11"/>
        <v>0</v>
      </c>
    </row>
    <row r="305" spans="1:12" hidden="1" x14ac:dyDescent="0.45">
      <c r="A305" s="5">
        <f t="shared" si="10"/>
        <v>304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>
        <f t="shared" si="11"/>
        <v>0</v>
      </c>
    </row>
    <row r="306" spans="1:12" hidden="1" x14ac:dyDescent="0.45">
      <c r="A306" s="5">
        <f t="shared" si="10"/>
        <v>305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>
        <f t="shared" si="11"/>
        <v>0</v>
      </c>
    </row>
    <row r="307" spans="1:12" hidden="1" x14ac:dyDescent="0.45">
      <c r="A307" s="5">
        <f t="shared" si="10"/>
        <v>306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>
        <f t="shared" si="11"/>
        <v>0</v>
      </c>
    </row>
    <row r="308" spans="1:12" hidden="1" x14ac:dyDescent="0.45">
      <c r="A308" s="5">
        <f t="shared" si="10"/>
        <v>307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>
        <f t="shared" si="11"/>
        <v>0</v>
      </c>
    </row>
    <row r="309" spans="1:12" hidden="1" x14ac:dyDescent="0.45">
      <c r="A309" s="5">
        <f t="shared" si="10"/>
        <v>308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>
        <f t="shared" si="11"/>
        <v>0</v>
      </c>
    </row>
    <row r="310" spans="1:12" hidden="1" x14ac:dyDescent="0.45">
      <c r="A310" s="5">
        <f t="shared" si="10"/>
        <v>309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>
        <f t="shared" si="11"/>
        <v>0</v>
      </c>
    </row>
    <row r="311" spans="1:12" hidden="1" x14ac:dyDescent="0.45">
      <c r="A311" s="5">
        <f t="shared" si="10"/>
        <v>310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>
        <f t="shared" si="11"/>
        <v>0</v>
      </c>
    </row>
    <row r="312" spans="1:12" hidden="1" x14ac:dyDescent="0.45">
      <c r="A312" s="5">
        <f t="shared" si="10"/>
        <v>311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>
        <f t="shared" si="11"/>
        <v>0</v>
      </c>
    </row>
    <row r="313" spans="1:12" hidden="1" x14ac:dyDescent="0.45">
      <c r="A313" s="5">
        <f t="shared" si="10"/>
        <v>312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>
        <f t="shared" si="11"/>
        <v>0</v>
      </c>
    </row>
    <row r="314" spans="1:12" hidden="1" x14ac:dyDescent="0.45">
      <c r="A314" s="5">
        <f t="shared" si="10"/>
        <v>313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>
        <f t="shared" si="11"/>
        <v>0</v>
      </c>
    </row>
    <row r="315" spans="1:12" hidden="1" x14ac:dyDescent="0.45">
      <c r="A315" s="5">
        <f t="shared" si="10"/>
        <v>314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>
        <f t="shared" si="11"/>
        <v>0</v>
      </c>
    </row>
    <row r="316" spans="1:12" hidden="1" x14ac:dyDescent="0.45">
      <c r="A316" s="5">
        <f t="shared" si="10"/>
        <v>315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>
        <f t="shared" si="11"/>
        <v>0</v>
      </c>
    </row>
    <row r="317" spans="1:12" hidden="1" x14ac:dyDescent="0.45">
      <c r="A317" s="5">
        <f t="shared" si="10"/>
        <v>316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>
        <f t="shared" si="11"/>
        <v>0</v>
      </c>
    </row>
    <row r="318" spans="1:12" hidden="1" x14ac:dyDescent="0.45">
      <c r="A318" s="5">
        <f t="shared" si="10"/>
        <v>317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>
        <f t="shared" si="11"/>
        <v>0</v>
      </c>
    </row>
    <row r="319" spans="1:12" hidden="1" x14ac:dyDescent="0.45">
      <c r="A319" s="5">
        <f t="shared" si="10"/>
        <v>318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>
        <f t="shared" si="11"/>
        <v>0</v>
      </c>
    </row>
    <row r="320" spans="1:12" hidden="1" x14ac:dyDescent="0.45">
      <c r="A320" s="5">
        <f t="shared" si="10"/>
        <v>319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>
        <f t="shared" si="11"/>
        <v>0</v>
      </c>
    </row>
    <row r="321" spans="1:12" hidden="1" x14ac:dyDescent="0.45">
      <c r="A321" s="5">
        <f t="shared" si="10"/>
        <v>320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>
        <f t="shared" si="11"/>
        <v>0</v>
      </c>
    </row>
    <row r="322" spans="1:12" hidden="1" x14ac:dyDescent="0.45">
      <c r="A322" s="5">
        <f t="shared" ref="A322:A385" si="12">ROW(A322)-1</f>
        <v>321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>
        <f t="shared" ref="L322:L385" si="13">((F322*1.25)+(G322*1.25)+(H322*0.75)+(I322*0.25)+(J322*0.75)+(K322*0.75))/5</f>
        <v>0</v>
      </c>
    </row>
    <row r="323" spans="1:12" hidden="1" x14ac:dyDescent="0.45">
      <c r="A323" s="5">
        <f t="shared" si="12"/>
        <v>322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>
        <f t="shared" si="13"/>
        <v>0</v>
      </c>
    </row>
    <row r="324" spans="1:12" hidden="1" x14ac:dyDescent="0.45">
      <c r="A324" s="5">
        <f t="shared" si="12"/>
        <v>323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>
        <f t="shared" si="13"/>
        <v>0</v>
      </c>
    </row>
    <row r="325" spans="1:12" hidden="1" x14ac:dyDescent="0.45">
      <c r="A325" s="5">
        <f t="shared" si="12"/>
        <v>324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>
        <f t="shared" si="13"/>
        <v>0</v>
      </c>
    </row>
    <row r="326" spans="1:12" hidden="1" x14ac:dyDescent="0.45">
      <c r="A326" s="5">
        <f t="shared" si="12"/>
        <v>325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>
        <f t="shared" si="13"/>
        <v>0</v>
      </c>
    </row>
    <row r="327" spans="1:12" hidden="1" x14ac:dyDescent="0.45">
      <c r="A327" s="5">
        <f t="shared" si="12"/>
        <v>326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>
        <f t="shared" si="13"/>
        <v>0</v>
      </c>
    </row>
    <row r="328" spans="1:12" hidden="1" x14ac:dyDescent="0.45">
      <c r="A328" s="5">
        <f t="shared" si="12"/>
        <v>327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>
        <f t="shared" si="13"/>
        <v>0</v>
      </c>
    </row>
    <row r="329" spans="1:12" hidden="1" x14ac:dyDescent="0.45">
      <c r="A329" s="5">
        <f t="shared" si="12"/>
        <v>328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>
        <f t="shared" si="13"/>
        <v>0</v>
      </c>
    </row>
    <row r="330" spans="1:12" hidden="1" x14ac:dyDescent="0.45">
      <c r="A330" s="5">
        <f t="shared" si="12"/>
        <v>329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>
        <f t="shared" si="13"/>
        <v>0</v>
      </c>
    </row>
    <row r="331" spans="1:12" hidden="1" x14ac:dyDescent="0.45">
      <c r="A331" s="5">
        <f t="shared" si="12"/>
        <v>330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>
        <f t="shared" si="13"/>
        <v>0</v>
      </c>
    </row>
    <row r="332" spans="1:12" hidden="1" x14ac:dyDescent="0.45">
      <c r="A332" s="5">
        <f t="shared" si="12"/>
        <v>331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>
        <f t="shared" si="13"/>
        <v>0</v>
      </c>
    </row>
    <row r="333" spans="1:12" hidden="1" x14ac:dyDescent="0.45">
      <c r="A333" s="5">
        <f t="shared" si="12"/>
        <v>332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>
        <f t="shared" si="13"/>
        <v>0</v>
      </c>
    </row>
    <row r="334" spans="1:12" hidden="1" x14ac:dyDescent="0.45">
      <c r="A334" s="5">
        <f t="shared" si="12"/>
        <v>333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>
        <f t="shared" si="13"/>
        <v>0</v>
      </c>
    </row>
    <row r="335" spans="1:12" hidden="1" x14ac:dyDescent="0.45">
      <c r="A335" s="5">
        <f t="shared" si="12"/>
        <v>334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>
        <f t="shared" si="13"/>
        <v>0</v>
      </c>
    </row>
    <row r="336" spans="1:12" hidden="1" x14ac:dyDescent="0.45">
      <c r="A336" s="5">
        <f t="shared" si="12"/>
        <v>335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>
        <f t="shared" si="13"/>
        <v>0</v>
      </c>
    </row>
    <row r="337" spans="1:12" hidden="1" x14ac:dyDescent="0.45">
      <c r="A337" s="5">
        <f t="shared" si="12"/>
        <v>336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>
        <f t="shared" si="13"/>
        <v>0</v>
      </c>
    </row>
    <row r="338" spans="1:12" hidden="1" x14ac:dyDescent="0.45">
      <c r="A338" s="5">
        <f t="shared" si="12"/>
        <v>337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>
        <f t="shared" si="13"/>
        <v>0</v>
      </c>
    </row>
    <row r="339" spans="1:12" hidden="1" x14ac:dyDescent="0.45">
      <c r="A339" s="5">
        <f t="shared" si="12"/>
        <v>338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>
        <f t="shared" si="13"/>
        <v>0</v>
      </c>
    </row>
    <row r="340" spans="1:12" hidden="1" x14ac:dyDescent="0.45">
      <c r="A340" s="5">
        <f t="shared" si="12"/>
        <v>339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>
        <f t="shared" si="13"/>
        <v>0</v>
      </c>
    </row>
    <row r="341" spans="1:12" hidden="1" x14ac:dyDescent="0.45">
      <c r="A341" s="5">
        <f t="shared" si="12"/>
        <v>340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>
        <f t="shared" si="13"/>
        <v>0</v>
      </c>
    </row>
    <row r="342" spans="1:12" hidden="1" x14ac:dyDescent="0.45">
      <c r="A342" s="5">
        <f t="shared" si="12"/>
        <v>341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>
        <f t="shared" si="13"/>
        <v>0</v>
      </c>
    </row>
    <row r="343" spans="1:12" hidden="1" x14ac:dyDescent="0.45">
      <c r="A343" s="5">
        <f t="shared" si="12"/>
        <v>342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>
        <f t="shared" si="13"/>
        <v>0</v>
      </c>
    </row>
    <row r="344" spans="1:12" hidden="1" x14ac:dyDescent="0.45">
      <c r="A344" s="5">
        <f t="shared" si="12"/>
        <v>343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>
        <f t="shared" si="13"/>
        <v>0</v>
      </c>
    </row>
    <row r="345" spans="1:12" hidden="1" x14ac:dyDescent="0.45">
      <c r="A345" s="5">
        <f t="shared" si="12"/>
        <v>344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>
        <f t="shared" si="13"/>
        <v>0</v>
      </c>
    </row>
    <row r="346" spans="1:12" hidden="1" x14ac:dyDescent="0.45">
      <c r="A346" s="5">
        <f t="shared" si="12"/>
        <v>345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>
        <f t="shared" si="13"/>
        <v>0</v>
      </c>
    </row>
    <row r="347" spans="1:12" hidden="1" x14ac:dyDescent="0.45">
      <c r="A347" s="5">
        <f t="shared" si="12"/>
        <v>346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>
        <f t="shared" si="13"/>
        <v>0</v>
      </c>
    </row>
    <row r="348" spans="1:12" hidden="1" x14ac:dyDescent="0.45">
      <c r="A348" s="5">
        <f t="shared" si="12"/>
        <v>347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>
        <f t="shared" si="13"/>
        <v>0</v>
      </c>
    </row>
    <row r="349" spans="1:12" hidden="1" x14ac:dyDescent="0.45">
      <c r="A349" s="5">
        <f t="shared" si="12"/>
        <v>348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>
        <f t="shared" si="13"/>
        <v>0</v>
      </c>
    </row>
    <row r="350" spans="1:12" hidden="1" x14ac:dyDescent="0.45">
      <c r="A350" s="5">
        <f t="shared" si="12"/>
        <v>349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>
        <f t="shared" si="13"/>
        <v>0</v>
      </c>
    </row>
    <row r="351" spans="1:12" hidden="1" x14ac:dyDescent="0.45">
      <c r="A351" s="5">
        <f t="shared" si="12"/>
        <v>350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>
        <f t="shared" si="13"/>
        <v>0</v>
      </c>
    </row>
    <row r="352" spans="1:12" hidden="1" x14ac:dyDescent="0.45">
      <c r="A352" s="5">
        <f t="shared" si="12"/>
        <v>351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>
        <f t="shared" si="13"/>
        <v>0</v>
      </c>
    </row>
    <row r="353" spans="1:12" hidden="1" x14ac:dyDescent="0.45">
      <c r="A353" s="5">
        <f t="shared" si="12"/>
        <v>352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>
        <f t="shared" si="13"/>
        <v>0</v>
      </c>
    </row>
    <row r="354" spans="1:12" hidden="1" x14ac:dyDescent="0.45">
      <c r="A354" s="5">
        <f t="shared" si="12"/>
        <v>353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>
        <f t="shared" si="13"/>
        <v>0</v>
      </c>
    </row>
    <row r="355" spans="1:12" hidden="1" x14ac:dyDescent="0.45">
      <c r="A355" s="5">
        <f t="shared" si="12"/>
        <v>354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>
        <f t="shared" si="13"/>
        <v>0</v>
      </c>
    </row>
    <row r="356" spans="1:12" hidden="1" x14ac:dyDescent="0.45">
      <c r="A356" s="5">
        <f t="shared" si="12"/>
        <v>355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>
        <f t="shared" si="13"/>
        <v>0</v>
      </c>
    </row>
    <row r="357" spans="1:12" hidden="1" x14ac:dyDescent="0.45">
      <c r="A357" s="5">
        <f t="shared" si="12"/>
        <v>356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>
        <f t="shared" si="13"/>
        <v>0</v>
      </c>
    </row>
    <row r="358" spans="1:12" hidden="1" x14ac:dyDescent="0.45">
      <c r="A358" s="5">
        <f t="shared" si="12"/>
        <v>357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>
        <f t="shared" si="13"/>
        <v>0</v>
      </c>
    </row>
    <row r="359" spans="1:12" hidden="1" x14ac:dyDescent="0.45">
      <c r="A359" s="5">
        <f t="shared" si="12"/>
        <v>358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>
        <f t="shared" si="13"/>
        <v>0</v>
      </c>
    </row>
    <row r="360" spans="1:12" hidden="1" x14ac:dyDescent="0.45">
      <c r="A360" s="5">
        <f t="shared" si="12"/>
        <v>359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>
        <f t="shared" si="13"/>
        <v>0</v>
      </c>
    </row>
    <row r="361" spans="1:12" hidden="1" x14ac:dyDescent="0.45">
      <c r="A361" s="5">
        <f t="shared" si="12"/>
        <v>360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>
        <f t="shared" si="13"/>
        <v>0</v>
      </c>
    </row>
    <row r="362" spans="1:12" hidden="1" x14ac:dyDescent="0.45">
      <c r="A362" s="5">
        <f t="shared" si="12"/>
        <v>361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>
        <f t="shared" si="13"/>
        <v>0</v>
      </c>
    </row>
    <row r="363" spans="1:12" hidden="1" x14ac:dyDescent="0.45">
      <c r="A363" s="5">
        <f t="shared" si="12"/>
        <v>362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>
        <f t="shared" si="13"/>
        <v>0</v>
      </c>
    </row>
    <row r="364" spans="1:12" hidden="1" x14ac:dyDescent="0.45">
      <c r="A364" s="5">
        <f t="shared" si="12"/>
        <v>363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>
        <f t="shared" si="13"/>
        <v>0</v>
      </c>
    </row>
    <row r="365" spans="1:12" hidden="1" x14ac:dyDescent="0.45">
      <c r="A365" s="5">
        <f t="shared" si="12"/>
        <v>364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>
        <f t="shared" si="13"/>
        <v>0</v>
      </c>
    </row>
    <row r="366" spans="1:12" hidden="1" x14ac:dyDescent="0.45">
      <c r="A366" s="5">
        <f t="shared" si="12"/>
        <v>365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>
        <f t="shared" si="13"/>
        <v>0</v>
      </c>
    </row>
    <row r="367" spans="1:12" hidden="1" x14ac:dyDescent="0.45">
      <c r="A367" s="5">
        <f t="shared" si="12"/>
        <v>366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>
        <f t="shared" si="13"/>
        <v>0</v>
      </c>
    </row>
    <row r="368" spans="1:12" hidden="1" x14ac:dyDescent="0.45">
      <c r="A368" s="5">
        <f t="shared" si="12"/>
        <v>367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>
        <f t="shared" si="13"/>
        <v>0</v>
      </c>
    </row>
    <row r="369" spans="1:12" hidden="1" x14ac:dyDescent="0.45">
      <c r="A369" s="5">
        <f t="shared" si="12"/>
        <v>368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>
        <f t="shared" si="13"/>
        <v>0</v>
      </c>
    </row>
    <row r="370" spans="1:12" hidden="1" x14ac:dyDescent="0.45">
      <c r="A370" s="5">
        <f t="shared" si="12"/>
        <v>369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>
        <f t="shared" si="13"/>
        <v>0</v>
      </c>
    </row>
    <row r="371" spans="1:12" hidden="1" x14ac:dyDescent="0.45">
      <c r="A371" s="5">
        <f t="shared" si="12"/>
        <v>370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>
        <f t="shared" si="13"/>
        <v>0</v>
      </c>
    </row>
    <row r="372" spans="1:12" hidden="1" x14ac:dyDescent="0.45">
      <c r="A372" s="5">
        <f t="shared" si="12"/>
        <v>371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>
        <f t="shared" si="13"/>
        <v>0</v>
      </c>
    </row>
    <row r="373" spans="1:12" hidden="1" x14ac:dyDescent="0.45">
      <c r="A373" s="5">
        <f t="shared" si="12"/>
        <v>372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>
        <f t="shared" si="13"/>
        <v>0</v>
      </c>
    </row>
    <row r="374" spans="1:12" hidden="1" x14ac:dyDescent="0.45">
      <c r="A374" s="5">
        <f t="shared" si="12"/>
        <v>373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>
        <f t="shared" si="13"/>
        <v>0</v>
      </c>
    </row>
    <row r="375" spans="1:12" hidden="1" x14ac:dyDescent="0.45">
      <c r="A375" s="5">
        <f t="shared" si="12"/>
        <v>374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>
        <f t="shared" si="13"/>
        <v>0</v>
      </c>
    </row>
    <row r="376" spans="1:12" hidden="1" x14ac:dyDescent="0.45">
      <c r="A376" s="5">
        <f t="shared" si="12"/>
        <v>375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>
        <f t="shared" si="13"/>
        <v>0</v>
      </c>
    </row>
    <row r="377" spans="1:12" hidden="1" x14ac:dyDescent="0.45">
      <c r="A377" s="5">
        <f t="shared" si="12"/>
        <v>376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>
        <f t="shared" si="13"/>
        <v>0</v>
      </c>
    </row>
    <row r="378" spans="1:12" hidden="1" x14ac:dyDescent="0.45">
      <c r="A378" s="5">
        <f t="shared" si="12"/>
        <v>377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>
        <f t="shared" si="13"/>
        <v>0</v>
      </c>
    </row>
    <row r="379" spans="1:12" hidden="1" x14ac:dyDescent="0.45">
      <c r="A379" s="5">
        <f t="shared" si="12"/>
        <v>378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>
        <f t="shared" si="13"/>
        <v>0</v>
      </c>
    </row>
    <row r="380" spans="1:12" hidden="1" x14ac:dyDescent="0.45">
      <c r="A380" s="5">
        <f t="shared" si="12"/>
        <v>379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>
        <f t="shared" si="13"/>
        <v>0</v>
      </c>
    </row>
    <row r="381" spans="1:12" hidden="1" x14ac:dyDescent="0.45">
      <c r="A381" s="5">
        <f t="shared" si="12"/>
        <v>380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>
        <f t="shared" si="13"/>
        <v>0</v>
      </c>
    </row>
    <row r="382" spans="1:12" hidden="1" x14ac:dyDescent="0.45">
      <c r="A382" s="5">
        <f t="shared" si="12"/>
        <v>381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>
        <f t="shared" si="13"/>
        <v>0</v>
      </c>
    </row>
    <row r="383" spans="1:12" hidden="1" x14ac:dyDescent="0.45">
      <c r="A383" s="5">
        <f t="shared" si="12"/>
        <v>382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>
        <f t="shared" si="13"/>
        <v>0</v>
      </c>
    </row>
    <row r="384" spans="1:12" hidden="1" x14ac:dyDescent="0.45">
      <c r="A384" s="5">
        <f t="shared" si="12"/>
        <v>383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>
        <f t="shared" si="13"/>
        <v>0</v>
      </c>
    </row>
    <row r="385" spans="1:12" hidden="1" x14ac:dyDescent="0.45">
      <c r="A385" s="5">
        <f t="shared" si="12"/>
        <v>384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>
        <f t="shared" si="13"/>
        <v>0</v>
      </c>
    </row>
    <row r="386" spans="1:12" hidden="1" x14ac:dyDescent="0.45">
      <c r="A386" s="5">
        <f t="shared" ref="A386:A449" si="14">ROW(A386)-1</f>
        <v>385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>
        <f t="shared" ref="L386:L449" si="15">((F386*1.25)+(G386*1.25)+(H386*0.75)+(I386*0.25)+(J386*0.75)+(K386*0.75))/5</f>
        <v>0</v>
      </c>
    </row>
    <row r="387" spans="1:12" hidden="1" x14ac:dyDescent="0.45">
      <c r="A387" s="5">
        <f t="shared" si="14"/>
        <v>386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>
        <f t="shared" si="15"/>
        <v>0</v>
      </c>
    </row>
    <row r="388" spans="1:12" hidden="1" x14ac:dyDescent="0.45">
      <c r="A388" s="5">
        <f t="shared" si="14"/>
        <v>387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>
        <f t="shared" si="15"/>
        <v>0</v>
      </c>
    </row>
    <row r="389" spans="1:12" hidden="1" x14ac:dyDescent="0.45">
      <c r="A389" s="5">
        <f t="shared" si="14"/>
        <v>388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>
        <f t="shared" si="15"/>
        <v>0</v>
      </c>
    </row>
    <row r="390" spans="1:12" hidden="1" x14ac:dyDescent="0.45">
      <c r="A390" s="5">
        <f t="shared" si="14"/>
        <v>389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>
        <f t="shared" si="15"/>
        <v>0</v>
      </c>
    </row>
    <row r="391" spans="1:12" hidden="1" x14ac:dyDescent="0.45">
      <c r="A391" s="5">
        <f t="shared" si="14"/>
        <v>390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>
        <f t="shared" si="15"/>
        <v>0</v>
      </c>
    </row>
    <row r="392" spans="1:12" hidden="1" x14ac:dyDescent="0.45">
      <c r="A392" s="5">
        <f t="shared" si="14"/>
        <v>391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>
        <f t="shared" si="15"/>
        <v>0</v>
      </c>
    </row>
    <row r="393" spans="1:12" hidden="1" x14ac:dyDescent="0.45">
      <c r="A393" s="5">
        <f t="shared" si="14"/>
        <v>392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>
        <f t="shared" si="15"/>
        <v>0</v>
      </c>
    </row>
    <row r="394" spans="1:12" hidden="1" x14ac:dyDescent="0.45">
      <c r="A394" s="5">
        <f t="shared" si="14"/>
        <v>393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>
        <f t="shared" si="15"/>
        <v>0</v>
      </c>
    </row>
    <row r="395" spans="1:12" hidden="1" x14ac:dyDescent="0.45">
      <c r="A395" s="5">
        <f t="shared" si="14"/>
        <v>394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>
        <f t="shared" si="15"/>
        <v>0</v>
      </c>
    </row>
    <row r="396" spans="1:12" hidden="1" x14ac:dyDescent="0.45">
      <c r="A396" s="5">
        <f t="shared" si="14"/>
        <v>395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>
        <f t="shared" si="15"/>
        <v>0</v>
      </c>
    </row>
    <row r="397" spans="1:12" hidden="1" x14ac:dyDescent="0.45">
      <c r="A397" s="5">
        <f t="shared" si="14"/>
        <v>396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>
        <f t="shared" si="15"/>
        <v>0</v>
      </c>
    </row>
    <row r="398" spans="1:12" hidden="1" x14ac:dyDescent="0.45">
      <c r="A398" s="5">
        <f t="shared" si="14"/>
        <v>397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>
        <f t="shared" si="15"/>
        <v>0</v>
      </c>
    </row>
    <row r="399" spans="1:12" hidden="1" x14ac:dyDescent="0.45">
      <c r="A399" s="5">
        <f t="shared" si="14"/>
        <v>398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>
        <f t="shared" si="15"/>
        <v>0</v>
      </c>
    </row>
    <row r="400" spans="1:12" hidden="1" x14ac:dyDescent="0.45">
      <c r="A400" s="5">
        <f t="shared" si="14"/>
        <v>399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>
        <f t="shared" si="15"/>
        <v>0</v>
      </c>
    </row>
    <row r="401" spans="1:12" hidden="1" x14ac:dyDescent="0.45">
      <c r="A401" s="5">
        <f t="shared" si="14"/>
        <v>400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>
        <f t="shared" si="15"/>
        <v>0</v>
      </c>
    </row>
    <row r="402" spans="1:12" hidden="1" x14ac:dyDescent="0.45">
      <c r="A402" s="5">
        <f t="shared" si="14"/>
        <v>401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>
        <f t="shared" si="15"/>
        <v>0</v>
      </c>
    </row>
    <row r="403" spans="1:12" hidden="1" x14ac:dyDescent="0.45">
      <c r="A403" s="5">
        <f t="shared" si="14"/>
        <v>402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>
        <f t="shared" si="15"/>
        <v>0</v>
      </c>
    </row>
    <row r="404" spans="1:12" hidden="1" x14ac:dyDescent="0.45">
      <c r="A404" s="5">
        <f t="shared" si="14"/>
        <v>403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>
        <f t="shared" si="15"/>
        <v>0</v>
      </c>
    </row>
    <row r="405" spans="1:12" hidden="1" x14ac:dyDescent="0.45">
      <c r="A405" s="5">
        <f t="shared" si="14"/>
        <v>404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>
        <f t="shared" si="15"/>
        <v>0</v>
      </c>
    </row>
    <row r="406" spans="1:12" hidden="1" x14ac:dyDescent="0.45">
      <c r="A406" s="5">
        <f t="shared" si="14"/>
        <v>405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>
        <f t="shared" si="15"/>
        <v>0</v>
      </c>
    </row>
    <row r="407" spans="1:12" hidden="1" x14ac:dyDescent="0.45">
      <c r="A407" s="5">
        <f t="shared" si="14"/>
        <v>406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>
        <f t="shared" si="15"/>
        <v>0</v>
      </c>
    </row>
    <row r="408" spans="1:12" hidden="1" x14ac:dyDescent="0.45">
      <c r="A408" s="5">
        <f t="shared" si="14"/>
        <v>407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>
        <f t="shared" si="15"/>
        <v>0</v>
      </c>
    </row>
    <row r="409" spans="1:12" hidden="1" x14ac:dyDescent="0.45">
      <c r="A409" s="5">
        <f t="shared" si="14"/>
        <v>408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>
        <f t="shared" si="15"/>
        <v>0</v>
      </c>
    </row>
    <row r="410" spans="1:12" hidden="1" x14ac:dyDescent="0.45">
      <c r="A410" s="5">
        <f t="shared" si="14"/>
        <v>409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>
        <f t="shared" si="15"/>
        <v>0</v>
      </c>
    </row>
    <row r="411" spans="1:12" hidden="1" x14ac:dyDescent="0.45">
      <c r="A411" s="5">
        <f t="shared" si="14"/>
        <v>410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>
        <f t="shared" si="15"/>
        <v>0</v>
      </c>
    </row>
    <row r="412" spans="1:12" hidden="1" x14ac:dyDescent="0.45">
      <c r="A412" s="5">
        <f t="shared" si="14"/>
        <v>411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>
        <f t="shared" si="15"/>
        <v>0</v>
      </c>
    </row>
    <row r="413" spans="1:12" hidden="1" x14ac:dyDescent="0.45">
      <c r="A413" s="5">
        <f t="shared" si="14"/>
        <v>412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>
        <f t="shared" si="15"/>
        <v>0</v>
      </c>
    </row>
    <row r="414" spans="1:12" hidden="1" x14ac:dyDescent="0.45">
      <c r="A414" s="5">
        <f t="shared" si="14"/>
        <v>413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>
        <f t="shared" si="15"/>
        <v>0</v>
      </c>
    </row>
    <row r="415" spans="1:12" hidden="1" x14ac:dyDescent="0.45">
      <c r="A415" s="5">
        <f t="shared" si="14"/>
        <v>414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>
        <f t="shared" si="15"/>
        <v>0</v>
      </c>
    </row>
    <row r="416" spans="1:12" hidden="1" x14ac:dyDescent="0.45">
      <c r="A416" s="5">
        <f t="shared" si="14"/>
        <v>415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>
        <f t="shared" si="15"/>
        <v>0</v>
      </c>
    </row>
    <row r="417" spans="1:12" hidden="1" x14ac:dyDescent="0.45">
      <c r="A417" s="5">
        <f t="shared" si="14"/>
        <v>416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>
        <f t="shared" si="15"/>
        <v>0</v>
      </c>
    </row>
    <row r="418" spans="1:12" hidden="1" x14ac:dyDescent="0.45">
      <c r="A418" s="5">
        <f t="shared" si="14"/>
        <v>417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>
        <f t="shared" si="15"/>
        <v>0</v>
      </c>
    </row>
    <row r="419" spans="1:12" hidden="1" x14ac:dyDescent="0.45">
      <c r="A419" s="5">
        <f t="shared" si="14"/>
        <v>418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>
        <f t="shared" si="15"/>
        <v>0</v>
      </c>
    </row>
    <row r="420" spans="1:12" hidden="1" x14ac:dyDescent="0.45">
      <c r="A420" s="5">
        <f t="shared" si="14"/>
        <v>419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>
        <f t="shared" si="15"/>
        <v>0</v>
      </c>
    </row>
    <row r="421" spans="1:12" hidden="1" x14ac:dyDescent="0.45">
      <c r="A421" s="5">
        <f t="shared" si="14"/>
        <v>420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>
        <f t="shared" si="15"/>
        <v>0</v>
      </c>
    </row>
    <row r="422" spans="1:12" hidden="1" x14ac:dyDescent="0.45">
      <c r="A422" s="5">
        <f t="shared" si="14"/>
        <v>421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>
        <f t="shared" si="15"/>
        <v>0</v>
      </c>
    </row>
    <row r="423" spans="1:12" hidden="1" x14ac:dyDescent="0.45">
      <c r="A423" s="5">
        <f t="shared" si="14"/>
        <v>422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>
        <f t="shared" si="15"/>
        <v>0</v>
      </c>
    </row>
    <row r="424" spans="1:12" hidden="1" x14ac:dyDescent="0.45">
      <c r="A424" s="5">
        <f t="shared" si="14"/>
        <v>423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>
        <f t="shared" si="15"/>
        <v>0</v>
      </c>
    </row>
    <row r="425" spans="1:12" hidden="1" x14ac:dyDescent="0.45">
      <c r="A425" s="5">
        <f t="shared" si="14"/>
        <v>424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>
        <f t="shared" si="15"/>
        <v>0</v>
      </c>
    </row>
    <row r="426" spans="1:12" hidden="1" x14ac:dyDescent="0.45">
      <c r="A426" s="5">
        <f t="shared" si="14"/>
        <v>425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>
        <f t="shared" si="15"/>
        <v>0</v>
      </c>
    </row>
    <row r="427" spans="1:12" hidden="1" x14ac:dyDescent="0.45">
      <c r="A427" s="5">
        <f t="shared" si="14"/>
        <v>426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>
        <f t="shared" si="15"/>
        <v>0</v>
      </c>
    </row>
    <row r="428" spans="1:12" hidden="1" x14ac:dyDescent="0.45">
      <c r="A428" s="5">
        <f t="shared" si="14"/>
        <v>427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>
        <f t="shared" si="15"/>
        <v>0</v>
      </c>
    </row>
    <row r="429" spans="1:12" hidden="1" x14ac:dyDescent="0.45">
      <c r="A429" s="5">
        <f t="shared" si="14"/>
        <v>428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>
        <f t="shared" si="15"/>
        <v>0</v>
      </c>
    </row>
    <row r="430" spans="1:12" hidden="1" x14ac:dyDescent="0.45">
      <c r="A430" s="5">
        <f t="shared" si="14"/>
        <v>429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>
        <f t="shared" si="15"/>
        <v>0</v>
      </c>
    </row>
    <row r="431" spans="1:12" hidden="1" x14ac:dyDescent="0.45">
      <c r="A431" s="5">
        <f t="shared" si="14"/>
        <v>430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>
        <f t="shared" si="15"/>
        <v>0</v>
      </c>
    </row>
    <row r="432" spans="1:12" hidden="1" x14ac:dyDescent="0.45">
      <c r="A432" s="5">
        <f t="shared" si="14"/>
        <v>431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>
        <f t="shared" si="15"/>
        <v>0</v>
      </c>
    </row>
    <row r="433" spans="1:12" hidden="1" x14ac:dyDescent="0.45">
      <c r="A433" s="5">
        <f t="shared" si="14"/>
        <v>432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>
        <f t="shared" si="15"/>
        <v>0</v>
      </c>
    </row>
    <row r="434" spans="1:12" hidden="1" x14ac:dyDescent="0.45">
      <c r="A434" s="5">
        <f t="shared" si="14"/>
        <v>433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>
        <f t="shared" si="15"/>
        <v>0</v>
      </c>
    </row>
    <row r="435" spans="1:12" hidden="1" x14ac:dyDescent="0.45">
      <c r="A435" s="5">
        <f t="shared" si="14"/>
        <v>434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>
        <f t="shared" si="15"/>
        <v>0</v>
      </c>
    </row>
    <row r="436" spans="1:12" hidden="1" x14ac:dyDescent="0.45">
      <c r="A436" s="5">
        <f t="shared" si="14"/>
        <v>435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>
        <f t="shared" si="15"/>
        <v>0</v>
      </c>
    </row>
    <row r="437" spans="1:12" hidden="1" x14ac:dyDescent="0.45">
      <c r="A437" s="5">
        <f t="shared" si="14"/>
        <v>436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>
        <f t="shared" si="15"/>
        <v>0</v>
      </c>
    </row>
    <row r="438" spans="1:12" hidden="1" x14ac:dyDescent="0.45">
      <c r="A438" s="5">
        <f t="shared" si="14"/>
        <v>437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>
        <f t="shared" si="15"/>
        <v>0</v>
      </c>
    </row>
    <row r="439" spans="1:12" hidden="1" x14ac:dyDescent="0.45">
      <c r="A439" s="5">
        <f t="shared" si="14"/>
        <v>438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>
        <f t="shared" si="15"/>
        <v>0</v>
      </c>
    </row>
    <row r="440" spans="1:12" hidden="1" x14ac:dyDescent="0.45">
      <c r="A440" s="5">
        <f t="shared" si="14"/>
        <v>439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>
        <f t="shared" si="15"/>
        <v>0</v>
      </c>
    </row>
    <row r="441" spans="1:12" hidden="1" x14ac:dyDescent="0.45">
      <c r="A441" s="5">
        <f t="shared" si="14"/>
        <v>440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>
        <f t="shared" si="15"/>
        <v>0</v>
      </c>
    </row>
    <row r="442" spans="1:12" hidden="1" x14ac:dyDescent="0.45">
      <c r="A442" s="5">
        <f t="shared" si="14"/>
        <v>441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>
        <f t="shared" si="15"/>
        <v>0</v>
      </c>
    </row>
    <row r="443" spans="1:12" hidden="1" x14ac:dyDescent="0.45">
      <c r="A443" s="5">
        <f t="shared" si="14"/>
        <v>442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>
        <f t="shared" si="15"/>
        <v>0</v>
      </c>
    </row>
    <row r="444" spans="1:12" hidden="1" x14ac:dyDescent="0.45">
      <c r="A444" s="5">
        <f t="shared" si="14"/>
        <v>443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>
        <f t="shared" si="15"/>
        <v>0</v>
      </c>
    </row>
    <row r="445" spans="1:12" hidden="1" x14ac:dyDescent="0.45">
      <c r="A445" s="5">
        <f t="shared" si="14"/>
        <v>444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>
        <f t="shared" si="15"/>
        <v>0</v>
      </c>
    </row>
    <row r="446" spans="1:12" hidden="1" x14ac:dyDescent="0.45">
      <c r="A446" s="5">
        <f t="shared" si="14"/>
        <v>445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>
        <f t="shared" si="15"/>
        <v>0</v>
      </c>
    </row>
    <row r="447" spans="1:12" hidden="1" x14ac:dyDescent="0.45">
      <c r="A447" s="5">
        <f t="shared" si="14"/>
        <v>446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>
        <f t="shared" si="15"/>
        <v>0</v>
      </c>
    </row>
    <row r="448" spans="1:12" hidden="1" x14ac:dyDescent="0.45">
      <c r="A448" s="5">
        <f t="shared" si="14"/>
        <v>447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>
        <f t="shared" si="15"/>
        <v>0</v>
      </c>
    </row>
    <row r="449" spans="1:12" hidden="1" x14ac:dyDescent="0.45">
      <c r="A449" s="5">
        <f t="shared" si="14"/>
        <v>448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>
        <f t="shared" si="15"/>
        <v>0</v>
      </c>
    </row>
    <row r="450" spans="1:12" hidden="1" x14ac:dyDescent="0.45">
      <c r="A450" s="5">
        <f t="shared" ref="A450:A513" si="16">ROW(A450)-1</f>
        <v>449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>
        <f t="shared" ref="L450:L513" si="17">((F450*1.25)+(G450*1.25)+(H450*0.75)+(I450*0.25)+(J450*0.75)+(K450*0.75))/5</f>
        <v>0</v>
      </c>
    </row>
    <row r="451" spans="1:12" hidden="1" x14ac:dyDescent="0.45">
      <c r="A451" s="5">
        <f t="shared" si="16"/>
        <v>450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>
        <f t="shared" si="17"/>
        <v>0</v>
      </c>
    </row>
    <row r="452" spans="1:12" hidden="1" x14ac:dyDescent="0.45">
      <c r="A452" s="5">
        <f t="shared" si="16"/>
        <v>451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>
        <f t="shared" si="17"/>
        <v>0</v>
      </c>
    </row>
    <row r="453" spans="1:12" hidden="1" x14ac:dyDescent="0.45">
      <c r="A453" s="5">
        <f t="shared" si="16"/>
        <v>452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>
        <f t="shared" si="17"/>
        <v>0</v>
      </c>
    </row>
    <row r="454" spans="1:12" hidden="1" x14ac:dyDescent="0.45">
      <c r="A454" s="5">
        <f t="shared" si="16"/>
        <v>453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>
        <f t="shared" si="17"/>
        <v>0</v>
      </c>
    </row>
    <row r="455" spans="1:12" hidden="1" x14ac:dyDescent="0.45">
      <c r="A455" s="5">
        <f t="shared" si="16"/>
        <v>454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>
        <f t="shared" si="17"/>
        <v>0</v>
      </c>
    </row>
    <row r="456" spans="1:12" hidden="1" x14ac:dyDescent="0.45">
      <c r="A456" s="5">
        <f t="shared" si="16"/>
        <v>455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>
        <f t="shared" si="17"/>
        <v>0</v>
      </c>
    </row>
    <row r="457" spans="1:12" hidden="1" x14ac:dyDescent="0.45">
      <c r="A457" s="5">
        <f t="shared" si="16"/>
        <v>456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>
        <f t="shared" si="17"/>
        <v>0</v>
      </c>
    </row>
    <row r="458" spans="1:12" hidden="1" x14ac:dyDescent="0.45">
      <c r="A458" s="5">
        <f t="shared" si="16"/>
        <v>457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>
        <f t="shared" si="17"/>
        <v>0</v>
      </c>
    </row>
    <row r="459" spans="1:12" hidden="1" x14ac:dyDescent="0.45">
      <c r="A459" s="5">
        <f t="shared" si="16"/>
        <v>458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>
        <f t="shared" si="17"/>
        <v>0</v>
      </c>
    </row>
    <row r="460" spans="1:12" hidden="1" x14ac:dyDescent="0.45">
      <c r="A460" s="5">
        <f t="shared" si="16"/>
        <v>459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>
        <f t="shared" si="17"/>
        <v>0</v>
      </c>
    </row>
    <row r="461" spans="1:12" hidden="1" x14ac:dyDescent="0.45">
      <c r="A461" s="5">
        <f t="shared" si="16"/>
        <v>460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>
        <f t="shared" si="17"/>
        <v>0</v>
      </c>
    </row>
    <row r="462" spans="1:12" hidden="1" x14ac:dyDescent="0.45">
      <c r="A462" s="5">
        <f t="shared" si="16"/>
        <v>461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>
        <f t="shared" si="17"/>
        <v>0</v>
      </c>
    </row>
    <row r="463" spans="1:12" hidden="1" x14ac:dyDescent="0.45">
      <c r="A463" s="5">
        <f t="shared" si="16"/>
        <v>462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>
        <f t="shared" si="17"/>
        <v>0</v>
      </c>
    </row>
    <row r="464" spans="1:12" hidden="1" x14ac:dyDescent="0.45">
      <c r="A464" s="5">
        <f t="shared" si="16"/>
        <v>463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>
        <f t="shared" si="17"/>
        <v>0</v>
      </c>
    </row>
    <row r="465" spans="1:12" hidden="1" x14ac:dyDescent="0.45">
      <c r="A465" s="5">
        <f t="shared" si="16"/>
        <v>464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>
        <f t="shared" si="17"/>
        <v>0</v>
      </c>
    </row>
    <row r="466" spans="1:12" hidden="1" x14ac:dyDescent="0.45">
      <c r="A466" s="5">
        <f t="shared" si="16"/>
        <v>465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>
        <f t="shared" si="17"/>
        <v>0</v>
      </c>
    </row>
    <row r="467" spans="1:12" hidden="1" x14ac:dyDescent="0.45">
      <c r="A467" s="5">
        <f t="shared" si="16"/>
        <v>466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>
        <f t="shared" si="17"/>
        <v>0</v>
      </c>
    </row>
    <row r="468" spans="1:12" hidden="1" x14ac:dyDescent="0.45">
      <c r="A468" s="5">
        <f t="shared" si="16"/>
        <v>467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>
        <f t="shared" si="17"/>
        <v>0</v>
      </c>
    </row>
    <row r="469" spans="1:12" hidden="1" x14ac:dyDescent="0.45">
      <c r="A469" s="5">
        <f t="shared" si="16"/>
        <v>468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>
        <f t="shared" si="17"/>
        <v>0</v>
      </c>
    </row>
    <row r="470" spans="1:12" hidden="1" x14ac:dyDescent="0.45">
      <c r="A470" s="5">
        <f t="shared" si="16"/>
        <v>469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>
        <f t="shared" si="17"/>
        <v>0</v>
      </c>
    </row>
    <row r="471" spans="1:12" hidden="1" x14ac:dyDescent="0.45">
      <c r="A471" s="5">
        <f t="shared" si="16"/>
        <v>470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>
        <f t="shared" si="17"/>
        <v>0</v>
      </c>
    </row>
    <row r="472" spans="1:12" hidden="1" x14ac:dyDescent="0.45">
      <c r="A472" s="5">
        <f t="shared" si="16"/>
        <v>471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>
        <f t="shared" si="17"/>
        <v>0</v>
      </c>
    </row>
    <row r="473" spans="1:12" hidden="1" x14ac:dyDescent="0.45">
      <c r="A473" s="5">
        <f t="shared" si="16"/>
        <v>472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>
        <f t="shared" si="17"/>
        <v>0</v>
      </c>
    </row>
    <row r="474" spans="1:12" hidden="1" x14ac:dyDescent="0.45">
      <c r="A474" s="5">
        <f t="shared" si="16"/>
        <v>473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>
        <f t="shared" si="17"/>
        <v>0</v>
      </c>
    </row>
    <row r="475" spans="1:12" hidden="1" x14ac:dyDescent="0.45">
      <c r="A475" s="5">
        <f t="shared" si="16"/>
        <v>474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>
        <f t="shared" si="17"/>
        <v>0</v>
      </c>
    </row>
    <row r="476" spans="1:12" hidden="1" x14ac:dyDescent="0.45">
      <c r="A476" s="5">
        <f t="shared" si="16"/>
        <v>475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>
        <f t="shared" si="17"/>
        <v>0</v>
      </c>
    </row>
    <row r="477" spans="1:12" hidden="1" x14ac:dyDescent="0.45">
      <c r="A477" s="5">
        <f t="shared" si="16"/>
        <v>476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>
        <f t="shared" si="17"/>
        <v>0</v>
      </c>
    </row>
    <row r="478" spans="1:12" hidden="1" x14ac:dyDescent="0.45">
      <c r="A478" s="5">
        <f t="shared" si="16"/>
        <v>477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>
        <f t="shared" si="17"/>
        <v>0</v>
      </c>
    </row>
    <row r="479" spans="1:12" hidden="1" x14ac:dyDescent="0.45">
      <c r="A479" s="5">
        <f t="shared" si="16"/>
        <v>478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>
        <f t="shared" si="17"/>
        <v>0</v>
      </c>
    </row>
    <row r="480" spans="1:12" hidden="1" x14ac:dyDescent="0.45">
      <c r="A480" s="5">
        <f t="shared" si="16"/>
        <v>479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>
        <f t="shared" si="17"/>
        <v>0</v>
      </c>
    </row>
    <row r="481" spans="1:12" hidden="1" x14ac:dyDescent="0.45">
      <c r="A481" s="5">
        <f t="shared" si="16"/>
        <v>480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>
        <f t="shared" si="17"/>
        <v>0</v>
      </c>
    </row>
    <row r="482" spans="1:12" hidden="1" x14ac:dyDescent="0.45">
      <c r="A482" s="5">
        <f t="shared" si="16"/>
        <v>481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>
        <f t="shared" si="17"/>
        <v>0</v>
      </c>
    </row>
    <row r="483" spans="1:12" hidden="1" x14ac:dyDescent="0.45">
      <c r="A483" s="5">
        <f t="shared" si="16"/>
        <v>482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>
        <f t="shared" si="17"/>
        <v>0</v>
      </c>
    </row>
    <row r="484" spans="1:12" hidden="1" x14ac:dyDescent="0.45">
      <c r="A484" s="5">
        <f t="shared" si="16"/>
        <v>483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>
        <f t="shared" si="17"/>
        <v>0</v>
      </c>
    </row>
    <row r="485" spans="1:12" hidden="1" x14ac:dyDescent="0.45">
      <c r="A485" s="5">
        <f t="shared" si="16"/>
        <v>484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>
        <f t="shared" si="17"/>
        <v>0</v>
      </c>
    </row>
    <row r="486" spans="1:12" hidden="1" x14ac:dyDescent="0.45">
      <c r="A486" s="5">
        <f t="shared" si="16"/>
        <v>485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>
        <f t="shared" si="17"/>
        <v>0</v>
      </c>
    </row>
    <row r="487" spans="1:12" hidden="1" x14ac:dyDescent="0.45">
      <c r="A487" s="5">
        <f t="shared" si="16"/>
        <v>486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>
        <f t="shared" si="17"/>
        <v>0</v>
      </c>
    </row>
    <row r="488" spans="1:12" hidden="1" x14ac:dyDescent="0.45">
      <c r="A488" s="5">
        <f t="shared" si="16"/>
        <v>487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>
        <f t="shared" si="17"/>
        <v>0</v>
      </c>
    </row>
    <row r="489" spans="1:12" hidden="1" x14ac:dyDescent="0.45">
      <c r="A489" s="5">
        <f t="shared" si="16"/>
        <v>488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>
        <f t="shared" si="17"/>
        <v>0</v>
      </c>
    </row>
    <row r="490" spans="1:12" hidden="1" x14ac:dyDescent="0.45">
      <c r="A490" s="5">
        <f t="shared" si="16"/>
        <v>489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>
        <f t="shared" si="17"/>
        <v>0</v>
      </c>
    </row>
    <row r="491" spans="1:12" hidden="1" x14ac:dyDescent="0.45">
      <c r="A491" s="5">
        <f t="shared" si="16"/>
        <v>490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>
        <f t="shared" si="17"/>
        <v>0</v>
      </c>
    </row>
    <row r="492" spans="1:12" hidden="1" x14ac:dyDescent="0.45">
      <c r="A492" s="5">
        <f t="shared" si="16"/>
        <v>491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>
        <f t="shared" si="17"/>
        <v>0</v>
      </c>
    </row>
    <row r="493" spans="1:12" hidden="1" x14ac:dyDescent="0.45">
      <c r="A493" s="5">
        <f t="shared" si="16"/>
        <v>492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>
        <f t="shared" si="17"/>
        <v>0</v>
      </c>
    </row>
    <row r="494" spans="1:12" hidden="1" x14ac:dyDescent="0.45">
      <c r="A494" s="5">
        <f t="shared" si="16"/>
        <v>493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>
        <f t="shared" si="17"/>
        <v>0</v>
      </c>
    </row>
    <row r="495" spans="1:12" hidden="1" x14ac:dyDescent="0.45">
      <c r="A495" s="5">
        <f t="shared" si="16"/>
        <v>494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>
        <f t="shared" si="17"/>
        <v>0</v>
      </c>
    </row>
    <row r="496" spans="1:12" hidden="1" x14ac:dyDescent="0.45">
      <c r="A496" s="5">
        <f t="shared" si="16"/>
        <v>495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>
        <f t="shared" si="17"/>
        <v>0</v>
      </c>
    </row>
    <row r="497" spans="1:12" hidden="1" x14ac:dyDescent="0.45">
      <c r="A497" s="5">
        <f t="shared" si="16"/>
        <v>496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>
        <f t="shared" si="17"/>
        <v>0</v>
      </c>
    </row>
    <row r="498" spans="1:12" hidden="1" x14ac:dyDescent="0.45">
      <c r="A498" s="5">
        <f t="shared" si="16"/>
        <v>497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>
        <f t="shared" si="17"/>
        <v>0</v>
      </c>
    </row>
    <row r="499" spans="1:12" hidden="1" x14ac:dyDescent="0.45">
      <c r="A499" s="5">
        <f t="shared" si="16"/>
        <v>498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>
        <f t="shared" si="17"/>
        <v>0</v>
      </c>
    </row>
    <row r="500" spans="1:12" hidden="1" x14ac:dyDescent="0.45">
      <c r="A500" s="5">
        <f t="shared" si="16"/>
        <v>499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>
        <f t="shared" si="17"/>
        <v>0</v>
      </c>
    </row>
    <row r="501" spans="1:12" hidden="1" x14ac:dyDescent="0.45">
      <c r="A501" s="5">
        <f t="shared" si="16"/>
        <v>500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>
        <f t="shared" si="17"/>
        <v>0</v>
      </c>
    </row>
    <row r="502" spans="1:12" hidden="1" x14ac:dyDescent="0.45">
      <c r="A502" s="5">
        <f t="shared" si="16"/>
        <v>501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>
        <f t="shared" si="17"/>
        <v>0</v>
      </c>
    </row>
    <row r="503" spans="1:12" hidden="1" x14ac:dyDescent="0.45">
      <c r="A503" s="5">
        <f t="shared" si="16"/>
        <v>502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>
        <f t="shared" si="17"/>
        <v>0</v>
      </c>
    </row>
    <row r="504" spans="1:12" hidden="1" x14ac:dyDescent="0.45">
      <c r="A504" s="5">
        <f t="shared" si="16"/>
        <v>503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>
        <f t="shared" si="17"/>
        <v>0</v>
      </c>
    </row>
    <row r="505" spans="1:12" hidden="1" x14ac:dyDescent="0.45">
      <c r="A505" s="5">
        <f t="shared" si="16"/>
        <v>504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>
        <f t="shared" si="17"/>
        <v>0</v>
      </c>
    </row>
    <row r="506" spans="1:12" hidden="1" x14ac:dyDescent="0.45">
      <c r="A506" s="5">
        <f t="shared" si="16"/>
        <v>505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>
        <f t="shared" si="17"/>
        <v>0</v>
      </c>
    </row>
    <row r="507" spans="1:12" hidden="1" x14ac:dyDescent="0.45">
      <c r="A507" s="5">
        <f t="shared" si="16"/>
        <v>506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>
        <f t="shared" si="17"/>
        <v>0</v>
      </c>
    </row>
    <row r="508" spans="1:12" hidden="1" x14ac:dyDescent="0.45">
      <c r="A508" s="5">
        <f t="shared" si="16"/>
        <v>507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>
        <f t="shared" si="17"/>
        <v>0</v>
      </c>
    </row>
    <row r="509" spans="1:12" hidden="1" x14ac:dyDescent="0.45">
      <c r="A509" s="5">
        <f t="shared" si="16"/>
        <v>508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>
        <f t="shared" si="17"/>
        <v>0</v>
      </c>
    </row>
    <row r="510" spans="1:12" hidden="1" x14ac:dyDescent="0.45">
      <c r="A510" s="5">
        <f t="shared" si="16"/>
        <v>509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>
        <f t="shared" si="17"/>
        <v>0</v>
      </c>
    </row>
    <row r="511" spans="1:12" hidden="1" x14ac:dyDescent="0.45">
      <c r="A511" s="5">
        <f t="shared" si="16"/>
        <v>510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>
        <f t="shared" si="17"/>
        <v>0</v>
      </c>
    </row>
    <row r="512" spans="1:12" hidden="1" x14ac:dyDescent="0.45">
      <c r="A512" s="5">
        <f t="shared" si="16"/>
        <v>511</v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>
        <f t="shared" si="17"/>
        <v>0</v>
      </c>
    </row>
    <row r="513" spans="1:12" hidden="1" x14ac:dyDescent="0.45">
      <c r="A513" s="5">
        <f t="shared" si="16"/>
        <v>512</v>
      </c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>
        <f t="shared" si="17"/>
        <v>0</v>
      </c>
    </row>
    <row r="514" spans="1:12" hidden="1" x14ac:dyDescent="0.45">
      <c r="A514" s="5">
        <f t="shared" ref="A514:A577" si="18">ROW(A514)-1</f>
        <v>513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>
        <f t="shared" ref="L514:L577" si="19">((F514*1.25)+(G514*1.25)+(H514*0.75)+(I514*0.25)+(J514*0.75)+(K514*0.75))/5</f>
        <v>0</v>
      </c>
    </row>
    <row r="515" spans="1:12" hidden="1" x14ac:dyDescent="0.45">
      <c r="A515" s="5">
        <f t="shared" si="18"/>
        <v>514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>
        <f t="shared" si="19"/>
        <v>0</v>
      </c>
    </row>
    <row r="516" spans="1:12" hidden="1" x14ac:dyDescent="0.45">
      <c r="A516" s="5">
        <f t="shared" si="18"/>
        <v>515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>
        <f t="shared" si="19"/>
        <v>0</v>
      </c>
    </row>
    <row r="517" spans="1:12" hidden="1" x14ac:dyDescent="0.45">
      <c r="A517" s="5">
        <f t="shared" si="18"/>
        <v>516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>
        <f t="shared" si="19"/>
        <v>0</v>
      </c>
    </row>
    <row r="518" spans="1:12" hidden="1" x14ac:dyDescent="0.45">
      <c r="A518" s="5">
        <f t="shared" si="18"/>
        <v>517</v>
      </c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>
        <f t="shared" si="19"/>
        <v>0</v>
      </c>
    </row>
    <row r="519" spans="1:12" hidden="1" x14ac:dyDescent="0.45">
      <c r="A519" s="5">
        <f t="shared" si="18"/>
        <v>518</v>
      </c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>
        <f t="shared" si="19"/>
        <v>0</v>
      </c>
    </row>
    <row r="520" spans="1:12" hidden="1" x14ac:dyDescent="0.45">
      <c r="A520" s="5">
        <f t="shared" si="18"/>
        <v>519</v>
      </c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>
        <f t="shared" si="19"/>
        <v>0</v>
      </c>
    </row>
    <row r="521" spans="1:12" hidden="1" x14ac:dyDescent="0.45">
      <c r="A521" s="5">
        <f t="shared" si="18"/>
        <v>520</v>
      </c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>
        <f t="shared" si="19"/>
        <v>0</v>
      </c>
    </row>
    <row r="522" spans="1:12" hidden="1" x14ac:dyDescent="0.45">
      <c r="A522" s="5">
        <f t="shared" si="18"/>
        <v>521</v>
      </c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>
        <f t="shared" si="19"/>
        <v>0</v>
      </c>
    </row>
    <row r="523" spans="1:12" hidden="1" x14ac:dyDescent="0.45">
      <c r="A523" s="5">
        <f t="shared" si="18"/>
        <v>522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>
        <f t="shared" si="19"/>
        <v>0</v>
      </c>
    </row>
    <row r="524" spans="1:12" hidden="1" x14ac:dyDescent="0.45">
      <c r="A524" s="5">
        <f t="shared" si="18"/>
        <v>523</v>
      </c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>
        <f t="shared" si="19"/>
        <v>0</v>
      </c>
    </row>
    <row r="525" spans="1:12" hidden="1" x14ac:dyDescent="0.45">
      <c r="A525" s="5">
        <f t="shared" si="18"/>
        <v>524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>
        <f t="shared" si="19"/>
        <v>0</v>
      </c>
    </row>
    <row r="526" spans="1:12" hidden="1" x14ac:dyDescent="0.45">
      <c r="A526" s="5">
        <f t="shared" si="18"/>
        <v>525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>
        <f t="shared" si="19"/>
        <v>0</v>
      </c>
    </row>
    <row r="527" spans="1:12" hidden="1" x14ac:dyDescent="0.45">
      <c r="A527" s="5">
        <f t="shared" si="18"/>
        <v>526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>
        <f t="shared" si="19"/>
        <v>0</v>
      </c>
    </row>
    <row r="528" spans="1:12" hidden="1" x14ac:dyDescent="0.45">
      <c r="A528" s="5">
        <f t="shared" si="18"/>
        <v>527</v>
      </c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>
        <f t="shared" si="19"/>
        <v>0</v>
      </c>
    </row>
    <row r="529" spans="1:12" hidden="1" x14ac:dyDescent="0.45">
      <c r="A529" s="5">
        <f t="shared" si="18"/>
        <v>528</v>
      </c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>
        <f t="shared" si="19"/>
        <v>0</v>
      </c>
    </row>
    <row r="530" spans="1:12" hidden="1" x14ac:dyDescent="0.45">
      <c r="A530" s="5">
        <f t="shared" si="18"/>
        <v>529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>
        <f t="shared" si="19"/>
        <v>0</v>
      </c>
    </row>
    <row r="531" spans="1:12" hidden="1" x14ac:dyDescent="0.45">
      <c r="A531" s="5">
        <f t="shared" si="18"/>
        <v>530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>
        <f t="shared" si="19"/>
        <v>0</v>
      </c>
    </row>
    <row r="532" spans="1:12" hidden="1" x14ac:dyDescent="0.45">
      <c r="A532" s="5">
        <f t="shared" si="18"/>
        <v>531</v>
      </c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>
        <f t="shared" si="19"/>
        <v>0</v>
      </c>
    </row>
    <row r="533" spans="1:12" hidden="1" x14ac:dyDescent="0.45">
      <c r="A533" s="5">
        <f t="shared" si="18"/>
        <v>532</v>
      </c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>
        <f t="shared" si="19"/>
        <v>0</v>
      </c>
    </row>
    <row r="534" spans="1:12" hidden="1" x14ac:dyDescent="0.45">
      <c r="A534" s="5">
        <f t="shared" si="18"/>
        <v>533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>
        <f t="shared" si="19"/>
        <v>0</v>
      </c>
    </row>
    <row r="535" spans="1:12" hidden="1" x14ac:dyDescent="0.45">
      <c r="A535" s="5">
        <f t="shared" si="18"/>
        <v>534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>
        <f t="shared" si="19"/>
        <v>0</v>
      </c>
    </row>
    <row r="536" spans="1:12" hidden="1" x14ac:dyDescent="0.45">
      <c r="A536" s="5">
        <f t="shared" si="18"/>
        <v>535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>
        <f t="shared" si="19"/>
        <v>0</v>
      </c>
    </row>
    <row r="537" spans="1:12" hidden="1" x14ac:dyDescent="0.45">
      <c r="A537" s="5">
        <f t="shared" si="18"/>
        <v>536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>
        <f t="shared" si="19"/>
        <v>0</v>
      </c>
    </row>
    <row r="538" spans="1:12" hidden="1" x14ac:dyDescent="0.45">
      <c r="A538" s="5">
        <f t="shared" si="18"/>
        <v>537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>
        <f t="shared" si="19"/>
        <v>0</v>
      </c>
    </row>
    <row r="539" spans="1:12" hidden="1" x14ac:dyDescent="0.45">
      <c r="A539" s="5">
        <f t="shared" si="18"/>
        <v>538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>
        <f t="shared" si="19"/>
        <v>0</v>
      </c>
    </row>
    <row r="540" spans="1:12" hidden="1" x14ac:dyDescent="0.45">
      <c r="A540" s="5">
        <f t="shared" si="18"/>
        <v>539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>
        <f t="shared" si="19"/>
        <v>0</v>
      </c>
    </row>
    <row r="541" spans="1:12" hidden="1" x14ac:dyDescent="0.45">
      <c r="A541" s="5">
        <f t="shared" si="18"/>
        <v>540</v>
      </c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>
        <f t="shared" si="19"/>
        <v>0</v>
      </c>
    </row>
    <row r="542" spans="1:12" hidden="1" x14ac:dyDescent="0.45">
      <c r="A542" s="5">
        <f t="shared" si="18"/>
        <v>541</v>
      </c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>
        <f t="shared" si="19"/>
        <v>0</v>
      </c>
    </row>
    <row r="543" spans="1:12" hidden="1" x14ac:dyDescent="0.45">
      <c r="A543" s="5">
        <f t="shared" si="18"/>
        <v>542</v>
      </c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>
        <f t="shared" si="19"/>
        <v>0</v>
      </c>
    </row>
    <row r="544" spans="1:12" hidden="1" x14ac:dyDescent="0.45">
      <c r="A544" s="5">
        <f t="shared" si="18"/>
        <v>543</v>
      </c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>
        <f t="shared" si="19"/>
        <v>0</v>
      </c>
    </row>
    <row r="545" spans="1:12" hidden="1" x14ac:dyDescent="0.45">
      <c r="A545" s="5">
        <f t="shared" si="18"/>
        <v>544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>
        <f t="shared" si="19"/>
        <v>0</v>
      </c>
    </row>
    <row r="546" spans="1:12" hidden="1" x14ac:dyDescent="0.45">
      <c r="A546" s="5">
        <f t="shared" si="18"/>
        <v>545</v>
      </c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>
        <f t="shared" si="19"/>
        <v>0</v>
      </c>
    </row>
    <row r="547" spans="1:12" hidden="1" x14ac:dyDescent="0.45">
      <c r="A547" s="5">
        <f t="shared" si="18"/>
        <v>546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>
        <f t="shared" si="19"/>
        <v>0</v>
      </c>
    </row>
    <row r="548" spans="1:12" hidden="1" x14ac:dyDescent="0.45">
      <c r="A548" s="5">
        <f t="shared" si="18"/>
        <v>547</v>
      </c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>
        <f t="shared" si="19"/>
        <v>0</v>
      </c>
    </row>
    <row r="549" spans="1:12" hidden="1" x14ac:dyDescent="0.45">
      <c r="A549" s="5">
        <f t="shared" si="18"/>
        <v>548</v>
      </c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>
        <f t="shared" si="19"/>
        <v>0</v>
      </c>
    </row>
    <row r="550" spans="1:12" hidden="1" x14ac:dyDescent="0.45">
      <c r="A550" s="5">
        <f t="shared" si="18"/>
        <v>549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>
        <f t="shared" si="19"/>
        <v>0</v>
      </c>
    </row>
    <row r="551" spans="1:12" hidden="1" x14ac:dyDescent="0.45">
      <c r="A551" s="5">
        <f t="shared" si="18"/>
        <v>550</v>
      </c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>
        <f t="shared" si="19"/>
        <v>0</v>
      </c>
    </row>
    <row r="552" spans="1:12" hidden="1" x14ac:dyDescent="0.45">
      <c r="A552" s="5">
        <f t="shared" si="18"/>
        <v>551</v>
      </c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>
        <f t="shared" si="19"/>
        <v>0</v>
      </c>
    </row>
    <row r="553" spans="1:12" hidden="1" x14ac:dyDescent="0.45">
      <c r="A553" s="5">
        <f t="shared" si="18"/>
        <v>552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>
        <f t="shared" si="19"/>
        <v>0</v>
      </c>
    </row>
    <row r="554" spans="1:12" hidden="1" x14ac:dyDescent="0.45">
      <c r="A554" s="5">
        <f t="shared" si="18"/>
        <v>553</v>
      </c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>
        <f t="shared" si="19"/>
        <v>0</v>
      </c>
    </row>
    <row r="555" spans="1:12" hidden="1" x14ac:dyDescent="0.45">
      <c r="A555" s="5">
        <f t="shared" si="18"/>
        <v>554</v>
      </c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>
        <f t="shared" si="19"/>
        <v>0</v>
      </c>
    </row>
    <row r="556" spans="1:12" hidden="1" x14ac:dyDescent="0.45">
      <c r="A556" s="5">
        <f t="shared" si="18"/>
        <v>555</v>
      </c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>
        <f t="shared" si="19"/>
        <v>0</v>
      </c>
    </row>
    <row r="557" spans="1:12" hidden="1" x14ac:dyDescent="0.45">
      <c r="A557" s="5">
        <f t="shared" si="18"/>
        <v>556</v>
      </c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>
        <f t="shared" si="19"/>
        <v>0</v>
      </c>
    </row>
    <row r="558" spans="1:12" hidden="1" x14ac:dyDescent="0.45">
      <c r="A558" s="5">
        <f t="shared" si="18"/>
        <v>557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>
        <f t="shared" si="19"/>
        <v>0</v>
      </c>
    </row>
    <row r="559" spans="1:12" hidden="1" x14ac:dyDescent="0.45">
      <c r="A559" s="5">
        <f t="shared" si="18"/>
        <v>558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>
        <f t="shared" si="19"/>
        <v>0</v>
      </c>
    </row>
    <row r="560" spans="1:12" hidden="1" x14ac:dyDescent="0.45">
      <c r="A560" s="5">
        <f t="shared" si="18"/>
        <v>559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>
        <f t="shared" si="19"/>
        <v>0</v>
      </c>
    </row>
    <row r="561" spans="1:12" hidden="1" x14ac:dyDescent="0.45">
      <c r="A561" s="5">
        <f t="shared" si="18"/>
        <v>560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>
        <f t="shared" si="19"/>
        <v>0</v>
      </c>
    </row>
    <row r="562" spans="1:12" hidden="1" x14ac:dyDescent="0.45">
      <c r="A562" s="5">
        <f t="shared" si="18"/>
        <v>561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>
        <f t="shared" si="19"/>
        <v>0</v>
      </c>
    </row>
    <row r="563" spans="1:12" hidden="1" x14ac:dyDescent="0.45">
      <c r="A563" s="5">
        <f t="shared" si="18"/>
        <v>562</v>
      </c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>
        <f t="shared" si="19"/>
        <v>0</v>
      </c>
    </row>
    <row r="564" spans="1:12" hidden="1" x14ac:dyDescent="0.45">
      <c r="A564" s="5">
        <f t="shared" si="18"/>
        <v>563</v>
      </c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>
        <f t="shared" si="19"/>
        <v>0</v>
      </c>
    </row>
    <row r="565" spans="1:12" hidden="1" x14ac:dyDescent="0.45">
      <c r="A565" s="5">
        <f t="shared" si="18"/>
        <v>564</v>
      </c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>
        <f t="shared" si="19"/>
        <v>0</v>
      </c>
    </row>
    <row r="566" spans="1:12" hidden="1" x14ac:dyDescent="0.45">
      <c r="A566" s="5">
        <f t="shared" si="18"/>
        <v>565</v>
      </c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>
        <f t="shared" si="19"/>
        <v>0</v>
      </c>
    </row>
    <row r="567" spans="1:12" hidden="1" x14ac:dyDescent="0.45">
      <c r="A567" s="5">
        <f t="shared" si="18"/>
        <v>566</v>
      </c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>
        <f t="shared" si="19"/>
        <v>0</v>
      </c>
    </row>
    <row r="568" spans="1:12" hidden="1" x14ac:dyDescent="0.45">
      <c r="A568" s="5">
        <f t="shared" si="18"/>
        <v>567</v>
      </c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>
        <f t="shared" si="19"/>
        <v>0</v>
      </c>
    </row>
    <row r="569" spans="1:12" hidden="1" x14ac:dyDescent="0.45">
      <c r="A569" s="5">
        <f t="shared" si="18"/>
        <v>568</v>
      </c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>
        <f t="shared" si="19"/>
        <v>0</v>
      </c>
    </row>
    <row r="570" spans="1:12" hidden="1" x14ac:dyDescent="0.45">
      <c r="A570" s="5">
        <f t="shared" si="18"/>
        <v>569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>
        <f t="shared" si="19"/>
        <v>0</v>
      </c>
    </row>
    <row r="571" spans="1:12" hidden="1" x14ac:dyDescent="0.45">
      <c r="A571" s="5">
        <f t="shared" si="18"/>
        <v>570</v>
      </c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>
        <f t="shared" si="19"/>
        <v>0</v>
      </c>
    </row>
    <row r="572" spans="1:12" hidden="1" x14ac:dyDescent="0.45">
      <c r="A572" s="5">
        <f t="shared" si="18"/>
        <v>571</v>
      </c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>
        <f t="shared" si="19"/>
        <v>0</v>
      </c>
    </row>
    <row r="573" spans="1:12" hidden="1" x14ac:dyDescent="0.45">
      <c r="A573" s="5">
        <f t="shared" si="18"/>
        <v>572</v>
      </c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>
        <f t="shared" si="19"/>
        <v>0</v>
      </c>
    </row>
    <row r="574" spans="1:12" hidden="1" x14ac:dyDescent="0.45">
      <c r="A574" s="5">
        <f t="shared" si="18"/>
        <v>573</v>
      </c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>
        <f t="shared" si="19"/>
        <v>0</v>
      </c>
    </row>
    <row r="575" spans="1:12" hidden="1" x14ac:dyDescent="0.45">
      <c r="A575" s="5">
        <f t="shared" si="18"/>
        <v>574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>
        <f t="shared" si="19"/>
        <v>0</v>
      </c>
    </row>
    <row r="576" spans="1:12" hidden="1" x14ac:dyDescent="0.45">
      <c r="A576" s="5">
        <f t="shared" si="18"/>
        <v>575</v>
      </c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>
        <f t="shared" si="19"/>
        <v>0</v>
      </c>
    </row>
    <row r="577" spans="1:12" hidden="1" x14ac:dyDescent="0.45">
      <c r="A577" s="5">
        <f t="shared" si="18"/>
        <v>576</v>
      </c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>
        <f t="shared" si="19"/>
        <v>0</v>
      </c>
    </row>
    <row r="578" spans="1:12" hidden="1" x14ac:dyDescent="0.45">
      <c r="A578" s="5">
        <f t="shared" ref="A578:A641" si="20">ROW(A578)-1</f>
        <v>577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>
        <f t="shared" ref="L578:L641" si="21">((F578*1.25)+(G578*1.25)+(H578*0.75)+(I578*0.25)+(J578*0.75)+(K578*0.75))/5</f>
        <v>0</v>
      </c>
    </row>
    <row r="579" spans="1:12" hidden="1" x14ac:dyDescent="0.45">
      <c r="A579" s="5">
        <f t="shared" si="20"/>
        <v>578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>
        <f t="shared" si="21"/>
        <v>0</v>
      </c>
    </row>
    <row r="580" spans="1:12" hidden="1" x14ac:dyDescent="0.45">
      <c r="A580" s="5">
        <f t="shared" si="20"/>
        <v>579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>
        <f t="shared" si="21"/>
        <v>0</v>
      </c>
    </row>
    <row r="581" spans="1:12" hidden="1" x14ac:dyDescent="0.45">
      <c r="A581" s="5">
        <f t="shared" si="20"/>
        <v>580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>
        <f t="shared" si="21"/>
        <v>0</v>
      </c>
    </row>
    <row r="582" spans="1:12" hidden="1" x14ac:dyDescent="0.45">
      <c r="A582" s="5">
        <f t="shared" si="20"/>
        <v>581</v>
      </c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>
        <f t="shared" si="21"/>
        <v>0</v>
      </c>
    </row>
    <row r="583" spans="1:12" hidden="1" x14ac:dyDescent="0.45">
      <c r="A583" s="5">
        <f t="shared" si="20"/>
        <v>582</v>
      </c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>
        <f t="shared" si="21"/>
        <v>0</v>
      </c>
    </row>
    <row r="584" spans="1:12" hidden="1" x14ac:dyDescent="0.45">
      <c r="A584" s="5">
        <f t="shared" si="20"/>
        <v>583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>
        <f t="shared" si="21"/>
        <v>0</v>
      </c>
    </row>
    <row r="585" spans="1:12" hidden="1" x14ac:dyDescent="0.45">
      <c r="A585" s="5">
        <f t="shared" si="20"/>
        <v>584</v>
      </c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>
        <f t="shared" si="21"/>
        <v>0</v>
      </c>
    </row>
    <row r="586" spans="1:12" hidden="1" x14ac:dyDescent="0.45">
      <c r="A586" s="5">
        <f t="shared" si="20"/>
        <v>585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>
        <f t="shared" si="21"/>
        <v>0</v>
      </c>
    </row>
    <row r="587" spans="1:12" hidden="1" x14ac:dyDescent="0.45">
      <c r="A587" s="5">
        <f t="shared" si="20"/>
        <v>586</v>
      </c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>
        <f t="shared" si="21"/>
        <v>0</v>
      </c>
    </row>
    <row r="588" spans="1:12" hidden="1" x14ac:dyDescent="0.45">
      <c r="A588" s="5">
        <f t="shared" si="20"/>
        <v>587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>
        <f t="shared" si="21"/>
        <v>0</v>
      </c>
    </row>
    <row r="589" spans="1:12" hidden="1" x14ac:dyDescent="0.45">
      <c r="A589" s="5">
        <f t="shared" si="20"/>
        <v>588</v>
      </c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>
        <f t="shared" si="21"/>
        <v>0</v>
      </c>
    </row>
    <row r="590" spans="1:12" hidden="1" x14ac:dyDescent="0.45">
      <c r="A590" s="5">
        <f t="shared" si="20"/>
        <v>589</v>
      </c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>
        <f t="shared" si="21"/>
        <v>0</v>
      </c>
    </row>
    <row r="591" spans="1:12" hidden="1" x14ac:dyDescent="0.45">
      <c r="A591" s="5">
        <f t="shared" si="20"/>
        <v>590</v>
      </c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>
        <f t="shared" si="21"/>
        <v>0</v>
      </c>
    </row>
    <row r="592" spans="1:12" hidden="1" x14ac:dyDescent="0.45">
      <c r="A592" s="5">
        <f t="shared" si="20"/>
        <v>591</v>
      </c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>
        <f t="shared" si="21"/>
        <v>0</v>
      </c>
    </row>
    <row r="593" spans="1:12" hidden="1" x14ac:dyDescent="0.45">
      <c r="A593" s="5">
        <f t="shared" si="20"/>
        <v>592</v>
      </c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>
        <f t="shared" si="21"/>
        <v>0</v>
      </c>
    </row>
    <row r="594" spans="1:12" hidden="1" x14ac:dyDescent="0.45">
      <c r="A594" s="5">
        <f t="shared" si="20"/>
        <v>593</v>
      </c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>
        <f t="shared" si="21"/>
        <v>0</v>
      </c>
    </row>
    <row r="595" spans="1:12" hidden="1" x14ac:dyDescent="0.45">
      <c r="A595" s="5">
        <f t="shared" si="20"/>
        <v>594</v>
      </c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>
        <f t="shared" si="21"/>
        <v>0</v>
      </c>
    </row>
    <row r="596" spans="1:12" hidden="1" x14ac:dyDescent="0.45">
      <c r="A596" s="5">
        <f t="shared" si="20"/>
        <v>595</v>
      </c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>
        <f t="shared" si="21"/>
        <v>0</v>
      </c>
    </row>
    <row r="597" spans="1:12" hidden="1" x14ac:dyDescent="0.45">
      <c r="A597" s="5">
        <f t="shared" si="20"/>
        <v>596</v>
      </c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>
        <f t="shared" si="21"/>
        <v>0</v>
      </c>
    </row>
    <row r="598" spans="1:12" hidden="1" x14ac:dyDescent="0.45">
      <c r="A598" s="5">
        <f t="shared" si="20"/>
        <v>597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>
        <f t="shared" si="21"/>
        <v>0</v>
      </c>
    </row>
    <row r="599" spans="1:12" hidden="1" x14ac:dyDescent="0.45">
      <c r="A599" s="5">
        <f t="shared" si="20"/>
        <v>598</v>
      </c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>
        <f t="shared" si="21"/>
        <v>0</v>
      </c>
    </row>
    <row r="600" spans="1:12" hidden="1" x14ac:dyDescent="0.45">
      <c r="A600" s="5">
        <f t="shared" si="20"/>
        <v>599</v>
      </c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>
        <f t="shared" si="21"/>
        <v>0</v>
      </c>
    </row>
    <row r="601" spans="1:12" hidden="1" x14ac:dyDescent="0.45">
      <c r="A601" s="5">
        <f t="shared" si="20"/>
        <v>600</v>
      </c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>
        <f t="shared" si="21"/>
        <v>0</v>
      </c>
    </row>
    <row r="602" spans="1:12" hidden="1" x14ac:dyDescent="0.45">
      <c r="A602" s="5">
        <f t="shared" si="20"/>
        <v>601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>
        <f t="shared" si="21"/>
        <v>0</v>
      </c>
    </row>
    <row r="603" spans="1:12" hidden="1" x14ac:dyDescent="0.45">
      <c r="A603" s="5">
        <f t="shared" si="20"/>
        <v>602</v>
      </c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>
        <f t="shared" si="21"/>
        <v>0</v>
      </c>
    </row>
    <row r="604" spans="1:12" hidden="1" x14ac:dyDescent="0.45">
      <c r="A604" s="5">
        <f t="shared" si="20"/>
        <v>603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>
        <f t="shared" si="21"/>
        <v>0</v>
      </c>
    </row>
    <row r="605" spans="1:12" hidden="1" x14ac:dyDescent="0.45">
      <c r="A605" s="5">
        <f t="shared" si="20"/>
        <v>604</v>
      </c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>
        <f t="shared" si="21"/>
        <v>0</v>
      </c>
    </row>
    <row r="606" spans="1:12" hidden="1" x14ac:dyDescent="0.45">
      <c r="A606" s="5">
        <f t="shared" si="20"/>
        <v>605</v>
      </c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>
        <f t="shared" si="21"/>
        <v>0</v>
      </c>
    </row>
    <row r="607" spans="1:12" hidden="1" x14ac:dyDescent="0.45">
      <c r="A607" s="5">
        <f t="shared" si="20"/>
        <v>606</v>
      </c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>
        <f t="shared" si="21"/>
        <v>0</v>
      </c>
    </row>
    <row r="608" spans="1:12" hidden="1" x14ac:dyDescent="0.45">
      <c r="A608" s="5">
        <f t="shared" si="20"/>
        <v>607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>
        <f t="shared" si="21"/>
        <v>0</v>
      </c>
    </row>
    <row r="609" spans="1:12" hidden="1" x14ac:dyDescent="0.45">
      <c r="A609" s="5">
        <f t="shared" si="20"/>
        <v>608</v>
      </c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>
        <f t="shared" si="21"/>
        <v>0</v>
      </c>
    </row>
    <row r="610" spans="1:12" hidden="1" x14ac:dyDescent="0.45">
      <c r="A610" s="5">
        <f t="shared" si="20"/>
        <v>609</v>
      </c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>
        <f t="shared" si="21"/>
        <v>0</v>
      </c>
    </row>
    <row r="611" spans="1:12" hidden="1" x14ac:dyDescent="0.45">
      <c r="A611" s="5">
        <f t="shared" si="20"/>
        <v>610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>
        <f t="shared" si="21"/>
        <v>0</v>
      </c>
    </row>
    <row r="612" spans="1:12" hidden="1" x14ac:dyDescent="0.45">
      <c r="A612" s="5">
        <f t="shared" si="20"/>
        <v>611</v>
      </c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>
        <f t="shared" si="21"/>
        <v>0</v>
      </c>
    </row>
    <row r="613" spans="1:12" hidden="1" x14ac:dyDescent="0.45">
      <c r="A613" s="5">
        <f t="shared" si="20"/>
        <v>612</v>
      </c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>
        <f t="shared" si="21"/>
        <v>0</v>
      </c>
    </row>
    <row r="614" spans="1:12" hidden="1" x14ac:dyDescent="0.45">
      <c r="A614" s="5">
        <f t="shared" si="20"/>
        <v>613</v>
      </c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>
        <f t="shared" si="21"/>
        <v>0</v>
      </c>
    </row>
    <row r="615" spans="1:12" hidden="1" x14ac:dyDescent="0.45">
      <c r="A615" s="5">
        <f t="shared" si="20"/>
        <v>614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>
        <f t="shared" si="21"/>
        <v>0</v>
      </c>
    </row>
    <row r="616" spans="1:12" hidden="1" x14ac:dyDescent="0.45">
      <c r="A616" s="5">
        <f t="shared" si="20"/>
        <v>615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>
        <f t="shared" si="21"/>
        <v>0</v>
      </c>
    </row>
    <row r="617" spans="1:12" hidden="1" x14ac:dyDescent="0.45">
      <c r="A617" s="5">
        <f t="shared" si="20"/>
        <v>616</v>
      </c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>
        <f t="shared" si="21"/>
        <v>0</v>
      </c>
    </row>
    <row r="618" spans="1:12" hidden="1" x14ac:dyDescent="0.45">
      <c r="A618" s="5">
        <f t="shared" si="20"/>
        <v>617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>
        <f t="shared" si="21"/>
        <v>0</v>
      </c>
    </row>
    <row r="619" spans="1:12" hidden="1" x14ac:dyDescent="0.45">
      <c r="A619" s="5">
        <f t="shared" si="20"/>
        <v>618</v>
      </c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>
        <f t="shared" si="21"/>
        <v>0</v>
      </c>
    </row>
    <row r="620" spans="1:12" hidden="1" x14ac:dyDescent="0.45">
      <c r="A620" s="5">
        <f t="shared" si="20"/>
        <v>619</v>
      </c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>
        <f t="shared" si="21"/>
        <v>0</v>
      </c>
    </row>
    <row r="621" spans="1:12" hidden="1" x14ac:dyDescent="0.45">
      <c r="A621" s="5">
        <f t="shared" si="20"/>
        <v>620</v>
      </c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>
        <f t="shared" si="21"/>
        <v>0</v>
      </c>
    </row>
    <row r="622" spans="1:12" hidden="1" x14ac:dyDescent="0.45">
      <c r="A622" s="5">
        <f t="shared" si="20"/>
        <v>621</v>
      </c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>
        <f t="shared" si="21"/>
        <v>0</v>
      </c>
    </row>
    <row r="623" spans="1:12" hidden="1" x14ac:dyDescent="0.45">
      <c r="A623" s="5">
        <f t="shared" si="20"/>
        <v>622</v>
      </c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>
        <f t="shared" si="21"/>
        <v>0</v>
      </c>
    </row>
    <row r="624" spans="1:12" hidden="1" x14ac:dyDescent="0.45">
      <c r="A624" s="5">
        <f t="shared" si="20"/>
        <v>623</v>
      </c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>
        <f t="shared" si="21"/>
        <v>0</v>
      </c>
    </row>
    <row r="625" spans="1:12" hidden="1" x14ac:dyDescent="0.45">
      <c r="A625" s="5">
        <f t="shared" si="20"/>
        <v>624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>
        <f t="shared" si="21"/>
        <v>0</v>
      </c>
    </row>
    <row r="626" spans="1:12" hidden="1" x14ac:dyDescent="0.45">
      <c r="A626" s="5">
        <f t="shared" si="20"/>
        <v>625</v>
      </c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>
        <f t="shared" si="21"/>
        <v>0</v>
      </c>
    </row>
    <row r="627" spans="1:12" hidden="1" x14ac:dyDescent="0.45">
      <c r="A627" s="5">
        <f t="shared" si="20"/>
        <v>626</v>
      </c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>
        <f t="shared" si="21"/>
        <v>0</v>
      </c>
    </row>
    <row r="628" spans="1:12" hidden="1" x14ac:dyDescent="0.45">
      <c r="A628" s="5">
        <f t="shared" si="20"/>
        <v>627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>
        <f t="shared" si="21"/>
        <v>0</v>
      </c>
    </row>
    <row r="629" spans="1:12" hidden="1" x14ac:dyDescent="0.45">
      <c r="A629" s="5">
        <f t="shared" si="20"/>
        <v>628</v>
      </c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>
        <f t="shared" si="21"/>
        <v>0</v>
      </c>
    </row>
    <row r="630" spans="1:12" hidden="1" x14ac:dyDescent="0.45">
      <c r="A630" s="5">
        <f t="shared" si="20"/>
        <v>629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>
        <f t="shared" si="21"/>
        <v>0</v>
      </c>
    </row>
    <row r="631" spans="1:12" hidden="1" x14ac:dyDescent="0.45">
      <c r="A631" s="5">
        <f t="shared" si="20"/>
        <v>630</v>
      </c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>
        <f t="shared" si="21"/>
        <v>0</v>
      </c>
    </row>
    <row r="632" spans="1:12" hidden="1" x14ac:dyDescent="0.45">
      <c r="A632" s="5">
        <f t="shared" si="20"/>
        <v>631</v>
      </c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>
        <f t="shared" si="21"/>
        <v>0</v>
      </c>
    </row>
    <row r="633" spans="1:12" hidden="1" x14ac:dyDescent="0.45">
      <c r="A633" s="5">
        <f t="shared" si="20"/>
        <v>632</v>
      </c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>
        <f t="shared" si="21"/>
        <v>0</v>
      </c>
    </row>
    <row r="634" spans="1:12" hidden="1" x14ac:dyDescent="0.45">
      <c r="A634" s="5">
        <f t="shared" si="20"/>
        <v>633</v>
      </c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>
        <f t="shared" si="21"/>
        <v>0</v>
      </c>
    </row>
    <row r="635" spans="1:12" hidden="1" x14ac:dyDescent="0.45">
      <c r="A635" s="5">
        <f t="shared" si="20"/>
        <v>634</v>
      </c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>
        <f t="shared" si="21"/>
        <v>0</v>
      </c>
    </row>
    <row r="636" spans="1:12" hidden="1" x14ac:dyDescent="0.45">
      <c r="A636" s="5">
        <f t="shared" si="20"/>
        <v>635</v>
      </c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>
        <f t="shared" si="21"/>
        <v>0</v>
      </c>
    </row>
    <row r="637" spans="1:12" hidden="1" x14ac:dyDescent="0.45">
      <c r="A637" s="5">
        <f t="shared" si="20"/>
        <v>636</v>
      </c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>
        <f t="shared" si="21"/>
        <v>0</v>
      </c>
    </row>
    <row r="638" spans="1:12" hidden="1" x14ac:dyDescent="0.45">
      <c r="A638" s="5">
        <f t="shared" si="20"/>
        <v>637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>
        <f t="shared" si="21"/>
        <v>0</v>
      </c>
    </row>
    <row r="639" spans="1:12" hidden="1" x14ac:dyDescent="0.45">
      <c r="A639" s="5">
        <f t="shared" si="20"/>
        <v>638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>
        <f t="shared" si="21"/>
        <v>0</v>
      </c>
    </row>
    <row r="640" spans="1:12" hidden="1" x14ac:dyDescent="0.45">
      <c r="A640" s="5">
        <f t="shared" si="20"/>
        <v>639</v>
      </c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>
        <f t="shared" si="21"/>
        <v>0</v>
      </c>
    </row>
    <row r="641" spans="1:12" hidden="1" x14ac:dyDescent="0.45">
      <c r="A641" s="5">
        <f t="shared" si="20"/>
        <v>640</v>
      </c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>
        <f t="shared" si="21"/>
        <v>0</v>
      </c>
    </row>
    <row r="642" spans="1:12" hidden="1" x14ac:dyDescent="0.45">
      <c r="A642" s="5">
        <f t="shared" ref="A642:A705" si="22">ROW(A642)-1</f>
        <v>641</v>
      </c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>
        <f t="shared" ref="L642:L705" si="23">((F642*1.25)+(G642*1.25)+(H642*0.75)+(I642*0.25)+(J642*0.75)+(K642*0.75))/5</f>
        <v>0</v>
      </c>
    </row>
    <row r="643" spans="1:12" hidden="1" x14ac:dyDescent="0.45">
      <c r="A643" s="5">
        <f t="shared" si="22"/>
        <v>642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>
        <f t="shared" si="23"/>
        <v>0</v>
      </c>
    </row>
    <row r="644" spans="1:12" hidden="1" x14ac:dyDescent="0.45">
      <c r="A644" s="5">
        <f t="shared" si="22"/>
        <v>643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>
        <f t="shared" si="23"/>
        <v>0</v>
      </c>
    </row>
    <row r="645" spans="1:12" hidden="1" x14ac:dyDescent="0.45">
      <c r="A645" s="5">
        <f t="shared" si="22"/>
        <v>644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>
        <f t="shared" si="23"/>
        <v>0</v>
      </c>
    </row>
    <row r="646" spans="1:12" hidden="1" x14ac:dyDescent="0.45">
      <c r="A646" s="5">
        <f t="shared" si="22"/>
        <v>645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>
        <f t="shared" si="23"/>
        <v>0</v>
      </c>
    </row>
    <row r="647" spans="1:12" hidden="1" x14ac:dyDescent="0.45">
      <c r="A647" s="5">
        <f t="shared" si="22"/>
        <v>646</v>
      </c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>
        <f t="shared" si="23"/>
        <v>0</v>
      </c>
    </row>
    <row r="648" spans="1:12" hidden="1" x14ac:dyDescent="0.45">
      <c r="A648" s="5">
        <f t="shared" si="22"/>
        <v>647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>
        <f t="shared" si="23"/>
        <v>0</v>
      </c>
    </row>
    <row r="649" spans="1:12" hidden="1" x14ac:dyDescent="0.45">
      <c r="A649" s="5">
        <f t="shared" si="22"/>
        <v>648</v>
      </c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>
        <f t="shared" si="23"/>
        <v>0</v>
      </c>
    </row>
    <row r="650" spans="1:12" hidden="1" x14ac:dyDescent="0.45">
      <c r="A650" s="5">
        <f t="shared" si="22"/>
        <v>649</v>
      </c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>
        <f t="shared" si="23"/>
        <v>0</v>
      </c>
    </row>
    <row r="651" spans="1:12" hidden="1" x14ac:dyDescent="0.45">
      <c r="A651" s="5">
        <f t="shared" si="22"/>
        <v>650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>
        <f t="shared" si="23"/>
        <v>0</v>
      </c>
    </row>
    <row r="652" spans="1:12" hidden="1" x14ac:dyDescent="0.45">
      <c r="A652" s="5">
        <f t="shared" si="22"/>
        <v>651</v>
      </c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>
        <f t="shared" si="23"/>
        <v>0</v>
      </c>
    </row>
    <row r="653" spans="1:12" hidden="1" x14ac:dyDescent="0.45">
      <c r="A653" s="5">
        <f t="shared" si="22"/>
        <v>652</v>
      </c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>
        <f t="shared" si="23"/>
        <v>0</v>
      </c>
    </row>
    <row r="654" spans="1:12" hidden="1" x14ac:dyDescent="0.45">
      <c r="A654" s="5">
        <f t="shared" si="22"/>
        <v>653</v>
      </c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>
        <f t="shared" si="23"/>
        <v>0</v>
      </c>
    </row>
    <row r="655" spans="1:12" hidden="1" x14ac:dyDescent="0.45">
      <c r="A655" s="5">
        <f t="shared" si="22"/>
        <v>654</v>
      </c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>
        <f t="shared" si="23"/>
        <v>0</v>
      </c>
    </row>
    <row r="656" spans="1:12" hidden="1" x14ac:dyDescent="0.45">
      <c r="A656" s="5">
        <f t="shared" si="22"/>
        <v>655</v>
      </c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>
        <f t="shared" si="23"/>
        <v>0</v>
      </c>
    </row>
    <row r="657" spans="1:12" hidden="1" x14ac:dyDescent="0.45">
      <c r="A657" s="5">
        <f t="shared" si="22"/>
        <v>656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>
        <f t="shared" si="23"/>
        <v>0</v>
      </c>
    </row>
    <row r="658" spans="1:12" hidden="1" x14ac:dyDescent="0.45">
      <c r="A658" s="5">
        <f t="shared" si="22"/>
        <v>657</v>
      </c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>
        <f t="shared" si="23"/>
        <v>0</v>
      </c>
    </row>
    <row r="659" spans="1:12" hidden="1" x14ac:dyDescent="0.45">
      <c r="A659" s="5">
        <f t="shared" si="22"/>
        <v>658</v>
      </c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>
        <f t="shared" si="23"/>
        <v>0</v>
      </c>
    </row>
    <row r="660" spans="1:12" hidden="1" x14ac:dyDescent="0.45">
      <c r="A660" s="5">
        <f t="shared" si="22"/>
        <v>659</v>
      </c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>
        <f t="shared" si="23"/>
        <v>0</v>
      </c>
    </row>
    <row r="661" spans="1:12" hidden="1" x14ac:dyDescent="0.45">
      <c r="A661" s="5">
        <f t="shared" si="22"/>
        <v>660</v>
      </c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>
        <f t="shared" si="23"/>
        <v>0</v>
      </c>
    </row>
    <row r="662" spans="1:12" hidden="1" x14ac:dyDescent="0.45">
      <c r="A662" s="5">
        <f t="shared" si="22"/>
        <v>661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>
        <f t="shared" si="23"/>
        <v>0</v>
      </c>
    </row>
    <row r="663" spans="1:12" hidden="1" x14ac:dyDescent="0.45">
      <c r="A663" s="5">
        <f t="shared" si="22"/>
        <v>662</v>
      </c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>
        <f t="shared" si="23"/>
        <v>0</v>
      </c>
    </row>
    <row r="664" spans="1:12" hidden="1" x14ac:dyDescent="0.45">
      <c r="A664" s="5">
        <f t="shared" si="22"/>
        <v>663</v>
      </c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>
        <f t="shared" si="23"/>
        <v>0</v>
      </c>
    </row>
    <row r="665" spans="1:12" hidden="1" x14ac:dyDescent="0.45">
      <c r="A665" s="5">
        <f t="shared" si="22"/>
        <v>664</v>
      </c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>
        <f t="shared" si="23"/>
        <v>0</v>
      </c>
    </row>
    <row r="666" spans="1:12" hidden="1" x14ac:dyDescent="0.45">
      <c r="A666" s="5">
        <f t="shared" si="22"/>
        <v>665</v>
      </c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>
        <f t="shared" si="23"/>
        <v>0</v>
      </c>
    </row>
    <row r="667" spans="1:12" hidden="1" x14ac:dyDescent="0.45">
      <c r="A667" s="5">
        <f t="shared" si="22"/>
        <v>666</v>
      </c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>
        <f t="shared" si="23"/>
        <v>0</v>
      </c>
    </row>
    <row r="668" spans="1:12" hidden="1" x14ac:dyDescent="0.45">
      <c r="A668" s="5">
        <f t="shared" si="22"/>
        <v>667</v>
      </c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>
        <f t="shared" si="23"/>
        <v>0</v>
      </c>
    </row>
    <row r="669" spans="1:12" hidden="1" x14ac:dyDescent="0.45">
      <c r="A669" s="5">
        <f t="shared" si="22"/>
        <v>668</v>
      </c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>
        <f t="shared" si="23"/>
        <v>0</v>
      </c>
    </row>
    <row r="670" spans="1:12" hidden="1" x14ac:dyDescent="0.45">
      <c r="A670" s="5">
        <f t="shared" si="22"/>
        <v>669</v>
      </c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>
        <f t="shared" si="23"/>
        <v>0</v>
      </c>
    </row>
    <row r="671" spans="1:12" hidden="1" x14ac:dyDescent="0.45">
      <c r="A671" s="5">
        <f t="shared" si="22"/>
        <v>670</v>
      </c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>
        <f t="shared" si="23"/>
        <v>0</v>
      </c>
    </row>
    <row r="672" spans="1:12" hidden="1" x14ac:dyDescent="0.45">
      <c r="A672" s="5">
        <f t="shared" si="22"/>
        <v>671</v>
      </c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>
        <f t="shared" si="23"/>
        <v>0</v>
      </c>
    </row>
    <row r="673" spans="1:12" hidden="1" x14ac:dyDescent="0.45">
      <c r="A673" s="5">
        <f t="shared" si="22"/>
        <v>672</v>
      </c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>
        <f t="shared" si="23"/>
        <v>0</v>
      </c>
    </row>
    <row r="674" spans="1:12" hidden="1" x14ac:dyDescent="0.45">
      <c r="A674" s="5">
        <f t="shared" si="22"/>
        <v>673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>
        <f t="shared" si="23"/>
        <v>0</v>
      </c>
    </row>
    <row r="675" spans="1:12" hidden="1" x14ac:dyDescent="0.45">
      <c r="A675" s="5">
        <f t="shared" si="22"/>
        <v>674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>
        <f t="shared" si="23"/>
        <v>0</v>
      </c>
    </row>
    <row r="676" spans="1:12" hidden="1" x14ac:dyDescent="0.45">
      <c r="A676" s="5">
        <f t="shared" si="22"/>
        <v>675</v>
      </c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>
        <f t="shared" si="23"/>
        <v>0</v>
      </c>
    </row>
    <row r="677" spans="1:12" hidden="1" x14ac:dyDescent="0.45">
      <c r="A677" s="5">
        <f t="shared" si="22"/>
        <v>676</v>
      </c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>
        <f t="shared" si="23"/>
        <v>0</v>
      </c>
    </row>
    <row r="678" spans="1:12" hidden="1" x14ac:dyDescent="0.45">
      <c r="A678" s="5">
        <f t="shared" si="22"/>
        <v>677</v>
      </c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>
        <f t="shared" si="23"/>
        <v>0</v>
      </c>
    </row>
    <row r="679" spans="1:12" hidden="1" x14ac:dyDescent="0.45">
      <c r="A679" s="5">
        <f t="shared" si="22"/>
        <v>678</v>
      </c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>
        <f t="shared" si="23"/>
        <v>0</v>
      </c>
    </row>
    <row r="680" spans="1:12" hidden="1" x14ac:dyDescent="0.45">
      <c r="A680" s="5">
        <f t="shared" si="22"/>
        <v>679</v>
      </c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>
        <f t="shared" si="23"/>
        <v>0</v>
      </c>
    </row>
    <row r="681" spans="1:12" hidden="1" x14ac:dyDescent="0.45">
      <c r="A681" s="5">
        <f t="shared" si="22"/>
        <v>680</v>
      </c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>
        <f t="shared" si="23"/>
        <v>0</v>
      </c>
    </row>
    <row r="682" spans="1:12" hidden="1" x14ac:dyDescent="0.45">
      <c r="A682" s="5">
        <f t="shared" si="22"/>
        <v>681</v>
      </c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>
        <f t="shared" si="23"/>
        <v>0</v>
      </c>
    </row>
    <row r="683" spans="1:12" hidden="1" x14ac:dyDescent="0.45">
      <c r="A683" s="5">
        <f t="shared" si="22"/>
        <v>682</v>
      </c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>
        <f t="shared" si="23"/>
        <v>0</v>
      </c>
    </row>
    <row r="684" spans="1:12" hidden="1" x14ac:dyDescent="0.45">
      <c r="A684" s="5">
        <f t="shared" si="22"/>
        <v>683</v>
      </c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>
        <f t="shared" si="23"/>
        <v>0</v>
      </c>
    </row>
    <row r="685" spans="1:12" hidden="1" x14ac:dyDescent="0.45">
      <c r="A685" s="5">
        <f t="shared" si="22"/>
        <v>684</v>
      </c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>
        <f t="shared" si="23"/>
        <v>0</v>
      </c>
    </row>
    <row r="686" spans="1:12" hidden="1" x14ac:dyDescent="0.45">
      <c r="A686" s="5">
        <f t="shared" si="22"/>
        <v>685</v>
      </c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>
        <f t="shared" si="23"/>
        <v>0</v>
      </c>
    </row>
    <row r="687" spans="1:12" hidden="1" x14ac:dyDescent="0.45">
      <c r="A687" s="5">
        <f t="shared" si="22"/>
        <v>686</v>
      </c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>
        <f t="shared" si="23"/>
        <v>0</v>
      </c>
    </row>
    <row r="688" spans="1:12" hidden="1" x14ac:dyDescent="0.45">
      <c r="A688" s="5">
        <f t="shared" si="22"/>
        <v>687</v>
      </c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>
        <f t="shared" si="23"/>
        <v>0</v>
      </c>
    </row>
    <row r="689" spans="1:12" hidden="1" x14ac:dyDescent="0.45">
      <c r="A689" s="5">
        <f t="shared" si="22"/>
        <v>688</v>
      </c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>
        <f t="shared" si="23"/>
        <v>0</v>
      </c>
    </row>
    <row r="690" spans="1:12" hidden="1" x14ac:dyDescent="0.45">
      <c r="A690" s="5">
        <f t="shared" si="22"/>
        <v>689</v>
      </c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>
        <f t="shared" si="23"/>
        <v>0</v>
      </c>
    </row>
    <row r="691" spans="1:12" hidden="1" x14ac:dyDescent="0.45">
      <c r="A691" s="5">
        <f t="shared" si="22"/>
        <v>690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>
        <f t="shared" si="23"/>
        <v>0</v>
      </c>
    </row>
    <row r="692" spans="1:12" hidden="1" x14ac:dyDescent="0.45">
      <c r="A692" s="5">
        <f t="shared" si="22"/>
        <v>691</v>
      </c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>
        <f t="shared" si="23"/>
        <v>0</v>
      </c>
    </row>
    <row r="693" spans="1:12" hidden="1" x14ac:dyDescent="0.45">
      <c r="A693" s="5">
        <f t="shared" si="22"/>
        <v>692</v>
      </c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>
        <f t="shared" si="23"/>
        <v>0</v>
      </c>
    </row>
    <row r="694" spans="1:12" hidden="1" x14ac:dyDescent="0.45">
      <c r="A694" s="5">
        <f t="shared" si="22"/>
        <v>693</v>
      </c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>
        <f t="shared" si="23"/>
        <v>0</v>
      </c>
    </row>
    <row r="695" spans="1:12" hidden="1" x14ac:dyDescent="0.45">
      <c r="A695" s="5">
        <f t="shared" si="22"/>
        <v>694</v>
      </c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>
        <f t="shared" si="23"/>
        <v>0</v>
      </c>
    </row>
    <row r="696" spans="1:12" hidden="1" x14ac:dyDescent="0.45">
      <c r="A696" s="5">
        <f t="shared" si="22"/>
        <v>695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>
        <f t="shared" si="23"/>
        <v>0</v>
      </c>
    </row>
    <row r="697" spans="1:12" hidden="1" x14ac:dyDescent="0.45">
      <c r="A697" s="5">
        <f t="shared" si="22"/>
        <v>696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>
        <f t="shared" si="23"/>
        <v>0</v>
      </c>
    </row>
    <row r="698" spans="1:12" hidden="1" x14ac:dyDescent="0.45">
      <c r="A698" s="5">
        <f t="shared" si="22"/>
        <v>697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>
        <f t="shared" si="23"/>
        <v>0</v>
      </c>
    </row>
    <row r="699" spans="1:12" hidden="1" x14ac:dyDescent="0.45">
      <c r="A699" s="5">
        <f t="shared" si="22"/>
        <v>698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>
        <f t="shared" si="23"/>
        <v>0</v>
      </c>
    </row>
    <row r="700" spans="1:12" hidden="1" x14ac:dyDescent="0.45">
      <c r="A700" s="5">
        <f t="shared" si="22"/>
        <v>699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>
        <f t="shared" si="23"/>
        <v>0</v>
      </c>
    </row>
    <row r="701" spans="1:12" hidden="1" x14ac:dyDescent="0.45">
      <c r="A701" s="5">
        <f t="shared" si="22"/>
        <v>700</v>
      </c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>
        <f t="shared" si="23"/>
        <v>0</v>
      </c>
    </row>
    <row r="702" spans="1:12" hidden="1" x14ac:dyDescent="0.45">
      <c r="A702" s="5">
        <f t="shared" si="22"/>
        <v>701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>
        <f t="shared" si="23"/>
        <v>0</v>
      </c>
    </row>
    <row r="703" spans="1:12" hidden="1" x14ac:dyDescent="0.45">
      <c r="A703" s="5">
        <f t="shared" si="22"/>
        <v>702</v>
      </c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>
        <f t="shared" si="23"/>
        <v>0</v>
      </c>
    </row>
    <row r="704" spans="1:12" hidden="1" x14ac:dyDescent="0.45">
      <c r="A704" s="5">
        <f t="shared" si="22"/>
        <v>703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>
        <f t="shared" si="23"/>
        <v>0</v>
      </c>
    </row>
    <row r="705" spans="1:12" hidden="1" x14ac:dyDescent="0.45">
      <c r="A705" s="5">
        <f t="shared" si="22"/>
        <v>704</v>
      </c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>
        <f t="shared" si="23"/>
        <v>0</v>
      </c>
    </row>
    <row r="706" spans="1:12" hidden="1" x14ac:dyDescent="0.45">
      <c r="A706" s="5">
        <f t="shared" ref="A706:A769" si="24">ROW(A706)-1</f>
        <v>705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>
        <f t="shared" ref="L706:L769" si="25">((F706*1.25)+(G706*1.25)+(H706*0.75)+(I706*0.25)+(J706*0.75)+(K706*0.75))/5</f>
        <v>0</v>
      </c>
    </row>
    <row r="707" spans="1:12" hidden="1" x14ac:dyDescent="0.45">
      <c r="A707" s="5">
        <f t="shared" si="24"/>
        <v>706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>
        <f t="shared" si="25"/>
        <v>0</v>
      </c>
    </row>
    <row r="708" spans="1:12" hidden="1" x14ac:dyDescent="0.45">
      <c r="A708" s="5">
        <f t="shared" si="24"/>
        <v>707</v>
      </c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>
        <f t="shared" si="25"/>
        <v>0</v>
      </c>
    </row>
    <row r="709" spans="1:12" hidden="1" x14ac:dyDescent="0.45">
      <c r="A709" s="5">
        <f t="shared" si="24"/>
        <v>708</v>
      </c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>
        <f t="shared" si="25"/>
        <v>0</v>
      </c>
    </row>
    <row r="710" spans="1:12" hidden="1" x14ac:dyDescent="0.45">
      <c r="A710" s="5">
        <f t="shared" si="24"/>
        <v>709</v>
      </c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>
        <f t="shared" si="25"/>
        <v>0</v>
      </c>
    </row>
    <row r="711" spans="1:12" hidden="1" x14ac:dyDescent="0.45">
      <c r="A711" s="5">
        <f t="shared" si="24"/>
        <v>710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>
        <f t="shared" si="25"/>
        <v>0</v>
      </c>
    </row>
    <row r="712" spans="1:12" hidden="1" x14ac:dyDescent="0.45">
      <c r="A712" s="5">
        <f t="shared" si="24"/>
        <v>711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>
        <f t="shared" si="25"/>
        <v>0</v>
      </c>
    </row>
    <row r="713" spans="1:12" hidden="1" x14ac:dyDescent="0.45">
      <c r="A713" s="5">
        <f t="shared" si="24"/>
        <v>712</v>
      </c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>
        <f t="shared" si="25"/>
        <v>0</v>
      </c>
    </row>
    <row r="714" spans="1:12" hidden="1" x14ac:dyDescent="0.45">
      <c r="A714" s="5">
        <f t="shared" si="24"/>
        <v>713</v>
      </c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>
        <f t="shared" si="25"/>
        <v>0</v>
      </c>
    </row>
    <row r="715" spans="1:12" hidden="1" x14ac:dyDescent="0.45">
      <c r="A715" s="5">
        <f t="shared" si="24"/>
        <v>714</v>
      </c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>
        <f t="shared" si="25"/>
        <v>0</v>
      </c>
    </row>
    <row r="716" spans="1:12" hidden="1" x14ac:dyDescent="0.45">
      <c r="A716" s="5">
        <f t="shared" si="24"/>
        <v>715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>
        <f t="shared" si="25"/>
        <v>0</v>
      </c>
    </row>
    <row r="717" spans="1:12" hidden="1" x14ac:dyDescent="0.45">
      <c r="A717" s="5">
        <f t="shared" si="24"/>
        <v>716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>
        <f t="shared" si="25"/>
        <v>0</v>
      </c>
    </row>
    <row r="718" spans="1:12" hidden="1" x14ac:dyDescent="0.45">
      <c r="A718" s="5">
        <f t="shared" si="24"/>
        <v>717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>
        <f t="shared" si="25"/>
        <v>0</v>
      </c>
    </row>
    <row r="719" spans="1:12" hidden="1" x14ac:dyDescent="0.45">
      <c r="A719" s="5">
        <f t="shared" si="24"/>
        <v>718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>
        <f t="shared" si="25"/>
        <v>0</v>
      </c>
    </row>
    <row r="720" spans="1:12" hidden="1" x14ac:dyDescent="0.45">
      <c r="A720" s="5">
        <f t="shared" si="24"/>
        <v>719</v>
      </c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>
        <f t="shared" si="25"/>
        <v>0</v>
      </c>
    </row>
    <row r="721" spans="1:12" hidden="1" x14ac:dyDescent="0.45">
      <c r="A721" s="5">
        <f t="shared" si="24"/>
        <v>720</v>
      </c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>
        <f t="shared" si="25"/>
        <v>0</v>
      </c>
    </row>
    <row r="722" spans="1:12" hidden="1" x14ac:dyDescent="0.45">
      <c r="A722" s="5">
        <f t="shared" si="24"/>
        <v>721</v>
      </c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>
        <f t="shared" si="25"/>
        <v>0</v>
      </c>
    </row>
    <row r="723" spans="1:12" hidden="1" x14ac:dyDescent="0.45">
      <c r="A723" s="5">
        <f t="shared" si="24"/>
        <v>722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>
        <f t="shared" si="25"/>
        <v>0</v>
      </c>
    </row>
    <row r="724" spans="1:12" hidden="1" x14ac:dyDescent="0.45">
      <c r="A724" s="5">
        <f t="shared" si="24"/>
        <v>723</v>
      </c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>
        <f t="shared" si="25"/>
        <v>0</v>
      </c>
    </row>
    <row r="725" spans="1:12" hidden="1" x14ac:dyDescent="0.45">
      <c r="A725" s="5">
        <f t="shared" si="24"/>
        <v>724</v>
      </c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>
        <f t="shared" si="25"/>
        <v>0</v>
      </c>
    </row>
    <row r="726" spans="1:12" hidden="1" x14ac:dyDescent="0.45">
      <c r="A726" s="5">
        <f t="shared" si="24"/>
        <v>725</v>
      </c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>
        <f t="shared" si="25"/>
        <v>0</v>
      </c>
    </row>
    <row r="727" spans="1:12" hidden="1" x14ac:dyDescent="0.45">
      <c r="A727" s="5">
        <f t="shared" si="24"/>
        <v>726</v>
      </c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>
        <f t="shared" si="25"/>
        <v>0</v>
      </c>
    </row>
    <row r="728" spans="1:12" hidden="1" x14ac:dyDescent="0.45">
      <c r="A728" s="5">
        <f t="shared" si="24"/>
        <v>727</v>
      </c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>
        <f t="shared" si="25"/>
        <v>0</v>
      </c>
    </row>
    <row r="729" spans="1:12" hidden="1" x14ac:dyDescent="0.45">
      <c r="A729" s="5">
        <f t="shared" si="24"/>
        <v>728</v>
      </c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>
        <f t="shared" si="25"/>
        <v>0</v>
      </c>
    </row>
    <row r="730" spans="1:12" hidden="1" x14ac:dyDescent="0.45">
      <c r="A730" s="5">
        <f t="shared" si="24"/>
        <v>729</v>
      </c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>
        <f t="shared" si="25"/>
        <v>0</v>
      </c>
    </row>
    <row r="731" spans="1:12" hidden="1" x14ac:dyDescent="0.45">
      <c r="A731" s="5">
        <f t="shared" si="24"/>
        <v>730</v>
      </c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>
        <f t="shared" si="25"/>
        <v>0</v>
      </c>
    </row>
    <row r="732" spans="1:12" hidden="1" x14ac:dyDescent="0.45">
      <c r="A732" s="5">
        <f t="shared" si="24"/>
        <v>731</v>
      </c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>
        <f t="shared" si="25"/>
        <v>0</v>
      </c>
    </row>
    <row r="733" spans="1:12" hidden="1" x14ac:dyDescent="0.45">
      <c r="A733" s="5">
        <f t="shared" si="24"/>
        <v>732</v>
      </c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>
        <f t="shared" si="25"/>
        <v>0</v>
      </c>
    </row>
    <row r="734" spans="1:12" hidden="1" x14ac:dyDescent="0.45">
      <c r="A734" s="5">
        <f t="shared" si="24"/>
        <v>733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>
        <f t="shared" si="25"/>
        <v>0</v>
      </c>
    </row>
    <row r="735" spans="1:12" hidden="1" x14ac:dyDescent="0.45">
      <c r="A735" s="5">
        <f t="shared" si="24"/>
        <v>734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>
        <f t="shared" si="25"/>
        <v>0</v>
      </c>
    </row>
    <row r="736" spans="1:12" hidden="1" x14ac:dyDescent="0.45">
      <c r="A736" s="5">
        <f t="shared" si="24"/>
        <v>735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>
        <f t="shared" si="25"/>
        <v>0</v>
      </c>
    </row>
    <row r="737" spans="1:12" hidden="1" x14ac:dyDescent="0.45">
      <c r="A737" s="5">
        <f t="shared" si="24"/>
        <v>736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>
        <f t="shared" si="25"/>
        <v>0</v>
      </c>
    </row>
    <row r="738" spans="1:12" hidden="1" x14ac:dyDescent="0.45">
      <c r="A738" s="5">
        <f t="shared" si="24"/>
        <v>737</v>
      </c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>
        <f t="shared" si="25"/>
        <v>0</v>
      </c>
    </row>
    <row r="739" spans="1:12" hidden="1" x14ac:dyDescent="0.45">
      <c r="A739" s="5">
        <f t="shared" si="24"/>
        <v>738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>
        <f t="shared" si="25"/>
        <v>0</v>
      </c>
    </row>
    <row r="740" spans="1:12" hidden="1" x14ac:dyDescent="0.45">
      <c r="A740" s="5">
        <f t="shared" si="24"/>
        <v>739</v>
      </c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>
        <f t="shared" si="25"/>
        <v>0</v>
      </c>
    </row>
    <row r="741" spans="1:12" hidden="1" x14ac:dyDescent="0.45">
      <c r="A741" s="5">
        <f t="shared" si="24"/>
        <v>740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>
        <f t="shared" si="25"/>
        <v>0</v>
      </c>
    </row>
    <row r="742" spans="1:12" hidden="1" x14ac:dyDescent="0.45">
      <c r="A742" s="5">
        <f t="shared" si="24"/>
        <v>741</v>
      </c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>
        <f t="shared" si="25"/>
        <v>0</v>
      </c>
    </row>
    <row r="743" spans="1:12" hidden="1" x14ac:dyDescent="0.45">
      <c r="A743" s="5">
        <f t="shared" si="24"/>
        <v>742</v>
      </c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>
        <f t="shared" si="25"/>
        <v>0</v>
      </c>
    </row>
    <row r="744" spans="1:12" hidden="1" x14ac:dyDescent="0.45">
      <c r="A744" s="5">
        <f t="shared" si="24"/>
        <v>743</v>
      </c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>
        <f t="shared" si="25"/>
        <v>0</v>
      </c>
    </row>
    <row r="745" spans="1:12" hidden="1" x14ac:dyDescent="0.45">
      <c r="A745" s="5">
        <f t="shared" si="24"/>
        <v>744</v>
      </c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>
        <f t="shared" si="25"/>
        <v>0</v>
      </c>
    </row>
    <row r="746" spans="1:12" hidden="1" x14ac:dyDescent="0.45">
      <c r="A746" s="5">
        <f t="shared" si="24"/>
        <v>745</v>
      </c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>
        <f t="shared" si="25"/>
        <v>0</v>
      </c>
    </row>
    <row r="747" spans="1:12" hidden="1" x14ac:dyDescent="0.45">
      <c r="A747" s="5">
        <f t="shared" si="24"/>
        <v>746</v>
      </c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>
        <f t="shared" si="25"/>
        <v>0</v>
      </c>
    </row>
    <row r="748" spans="1:12" hidden="1" x14ac:dyDescent="0.45">
      <c r="A748" s="5">
        <f t="shared" si="24"/>
        <v>747</v>
      </c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>
        <f t="shared" si="25"/>
        <v>0</v>
      </c>
    </row>
    <row r="749" spans="1:12" hidden="1" x14ac:dyDescent="0.45">
      <c r="A749" s="5">
        <f t="shared" si="24"/>
        <v>748</v>
      </c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>
        <f t="shared" si="25"/>
        <v>0</v>
      </c>
    </row>
    <row r="750" spans="1:12" hidden="1" x14ac:dyDescent="0.45">
      <c r="A750" s="5">
        <f t="shared" si="24"/>
        <v>749</v>
      </c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>
        <f t="shared" si="25"/>
        <v>0</v>
      </c>
    </row>
    <row r="751" spans="1:12" hidden="1" x14ac:dyDescent="0.45">
      <c r="A751" s="5">
        <f t="shared" si="24"/>
        <v>750</v>
      </c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>
        <f t="shared" si="25"/>
        <v>0</v>
      </c>
    </row>
    <row r="752" spans="1:12" hidden="1" x14ac:dyDescent="0.45">
      <c r="A752" s="5">
        <f t="shared" si="24"/>
        <v>751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>
        <f t="shared" si="25"/>
        <v>0</v>
      </c>
    </row>
    <row r="753" spans="1:12" hidden="1" x14ac:dyDescent="0.45">
      <c r="A753" s="5">
        <f t="shared" si="24"/>
        <v>752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>
        <f t="shared" si="25"/>
        <v>0</v>
      </c>
    </row>
    <row r="754" spans="1:12" hidden="1" x14ac:dyDescent="0.45">
      <c r="A754" s="5">
        <f t="shared" si="24"/>
        <v>753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>
        <f t="shared" si="25"/>
        <v>0</v>
      </c>
    </row>
    <row r="755" spans="1:12" hidden="1" x14ac:dyDescent="0.45">
      <c r="A755" s="5">
        <f t="shared" si="24"/>
        <v>754</v>
      </c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>
        <f t="shared" si="25"/>
        <v>0</v>
      </c>
    </row>
    <row r="756" spans="1:12" hidden="1" x14ac:dyDescent="0.45">
      <c r="A756" s="5">
        <f t="shared" si="24"/>
        <v>755</v>
      </c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>
        <f t="shared" si="25"/>
        <v>0</v>
      </c>
    </row>
    <row r="757" spans="1:12" hidden="1" x14ac:dyDescent="0.45">
      <c r="A757" s="5">
        <f t="shared" si="24"/>
        <v>756</v>
      </c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>
        <f t="shared" si="25"/>
        <v>0</v>
      </c>
    </row>
    <row r="758" spans="1:12" hidden="1" x14ac:dyDescent="0.45">
      <c r="A758" s="5">
        <f t="shared" si="24"/>
        <v>757</v>
      </c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>
        <f t="shared" si="25"/>
        <v>0</v>
      </c>
    </row>
    <row r="759" spans="1:12" hidden="1" x14ac:dyDescent="0.45">
      <c r="A759" s="5">
        <f t="shared" si="24"/>
        <v>758</v>
      </c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>
        <f t="shared" si="25"/>
        <v>0</v>
      </c>
    </row>
    <row r="760" spans="1:12" hidden="1" x14ac:dyDescent="0.45">
      <c r="A760" s="5">
        <f t="shared" si="24"/>
        <v>759</v>
      </c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>
        <f t="shared" si="25"/>
        <v>0</v>
      </c>
    </row>
    <row r="761" spans="1:12" hidden="1" x14ac:dyDescent="0.45">
      <c r="A761" s="5">
        <f t="shared" si="24"/>
        <v>760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>
        <f t="shared" si="25"/>
        <v>0</v>
      </c>
    </row>
    <row r="762" spans="1:12" hidden="1" x14ac:dyDescent="0.45">
      <c r="A762" s="5">
        <f t="shared" si="24"/>
        <v>761</v>
      </c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>
        <f t="shared" si="25"/>
        <v>0</v>
      </c>
    </row>
    <row r="763" spans="1:12" hidden="1" x14ac:dyDescent="0.45">
      <c r="A763" s="5">
        <f t="shared" si="24"/>
        <v>762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>
        <f t="shared" si="25"/>
        <v>0</v>
      </c>
    </row>
    <row r="764" spans="1:12" hidden="1" x14ac:dyDescent="0.45">
      <c r="A764" s="5">
        <f t="shared" si="24"/>
        <v>763</v>
      </c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>
        <f t="shared" si="25"/>
        <v>0</v>
      </c>
    </row>
    <row r="765" spans="1:12" hidden="1" x14ac:dyDescent="0.45">
      <c r="A765" s="5">
        <f t="shared" si="24"/>
        <v>764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>
        <f t="shared" si="25"/>
        <v>0</v>
      </c>
    </row>
    <row r="766" spans="1:12" hidden="1" x14ac:dyDescent="0.45">
      <c r="A766" s="5">
        <f t="shared" si="24"/>
        <v>765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>
        <f t="shared" si="25"/>
        <v>0</v>
      </c>
    </row>
    <row r="767" spans="1:12" hidden="1" x14ac:dyDescent="0.45">
      <c r="A767" s="5">
        <f t="shared" si="24"/>
        <v>766</v>
      </c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>
        <f t="shared" si="25"/>
        <v>0</v>
      </c>
    </row>
    <row r="768" spans="1:12" hidden="1" x14ac:dyDescent="0.45">
      <c r="A768" s="5">
        <f t="shared" si="24"/>
        <v>767</v>
      </c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>
        <f t="shared" si="25"/>
        <v>0</v>
      </c>
    </row>
    <row r="769" spans="1:12" hidden="1" x14ac:dyDescent="0.45">
      <c r="A769" s="5">
        <f t="shared" si="24"/>
        <v>768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>
        <f t="shared" si="25"/>
        <v>0</v>
      </c>
    </row>
    <row r="770" spans="1:12" hidden="1" x14ac:dyDescent="0.45">
      <c r="A770" s="5">
        <f t="shared" ref="A770:A796" si="26">ROW(A770)-1</f>
        <v>769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>
        <f t="shared" ref="L770:L796" si="27">((F770*1.25)+(G770*1.25)+(H770*0.75)+(I770*0.25)+(J770*0.75)+(K770*0.75))/5</f>
        <v>0</v>
      </c>
    </row>
    <row r="771" spans="1:12" hidden="1" x14ac:dyDescent="0.45">
      <c r="A771" s="5">
        <f t="shared" si="26"/>
        <v>770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>
        <f t="shared" si="27"/>
        <v>0</v>
      </c>
    </row>
    <row r="772" spans="1:12" hidden="1" x14ac:dyDescent="0.45">
      <c r="A772" s="5">
        <f t="shared" si="26"/>
        <v>771</v>
      </c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>
        <f t="shared" si="27"/>
        <v>0</v>
      </c>
    </row>
    <row r="773" spans="1:12" hidden="1" x14ac:dyDescent="0.45">
      <c r="A773" s="5">
        <f t="shared" si="26"/>
        <v>772</v>
      </c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>
        <f t="shared" si="27"/>
        <v>0</v>
      </c>
    </row>
    <row r="774" spans="1:12" hidden="1" x14ac:dyDescent="0.45">
      <c r="A774" s="5">
        <f t="shared" si="26"/>
        <v>773</v>
      </c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>
        <f t="shared" si="27"/>
        <v>0</v>
      </c>
    </row>
    <row r="775" spans="1:12" hidden="1" x14ac:dyDescent="0.45">
      <c r="A775" s="5">
        <f t="shared" si="26"/>
        <v>774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>
        <f t="shared" si="27"/>
        <v>0</v>
      </c>
    </row>
    <row r="776" spans="1:12" hidden="1" x14ac:dyDescent="0.45">
      <c r="A776" s="5">
        <f t="shared" si="26"/>
        <v>775</v>
      </c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>
        <f t="shared" si="27"/>
        <v>0</v>
      </c>
    </row>
    <row r="777" spans="1:12" hidden="1" x14ac:dyDescent="0.45">
      <c r="A777" s="5">
        <f t="shared" si="26"/>
        <v>776</v>
      </c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>
        <f t="shared" si="27"/>
        <v>0</v>
      </c>
    </row>
    <row r="778" spans="1:12" hidden="1" x14ac:dyDescent="0.45">
      <c r="A778" s="5">
        <f t="shared" si="26"/>
        <v>777</v>
      </c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>
        <f t="shared" si="27"/>
        <v>0</v>
      </c>
    </row>
    <row r="779" spans="1:12" hidden="1" x14ac:dyDescent="0.45">
      <c r="A779" s="5">
        <f t="shared" si="26"/>
        <v>778</v>
      </c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>
        <f t="shared" si="27"/>
        <v>0</v>
      </c>
    </row>
    <row r="780" spans="1:12" hidden="1" x14ac:dyDescent="0.45">
      <c r="A780" s="5">
        <f t="shared" si="26"/>
        <v>779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>
        <f t="shared" si="27"/>
        <v>0</v>
      </c>
    </row>
    <row r="781" spans="1:12" hidden="1" x14ac:dyDescent="0.45">
      <c r="A781" s="5">
        <f t="shared" si="26"/>
        <v>780</v>
      </c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>
        <f t="shared" si="27"/>
        <v>0</v>
      </c>
    </row>
    <row r="782" spans="1:12" hidden="1" x14ac:dyDescent="0.45">
      <c r="A782" s="5">
        <f t="shared" si="26"/>
        <v>781</v>
      </c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>
        <f t="shared" si="27"/>
        <v>0</v>
      </c>
    </row>
    <row r="783" spans="1:12" hidden="1" x14ac:dyDescent="0.45">
      <c r="A783" s="5">
        <f t="shared" si="26"/>
        <v>782</v>
      </c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>
        <f t="shared" si="27"/>
        <v>0</v>
      </c>
    </row>
    <row r="784" spans="1:12" hidden="1" x14ac:dyDescent="0.45">
      <c r="A784" s="5">
        <f t="shared" si="26"/>
        <v>783</v>
      </c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>
        <f t="shared" si="27"/>
        <v>0</v>
      </c>
    </row>
    <row r="785" spans="1:12" hidden="1" x14ac:dyDescent="0.45">
      <c r="A785" s="5">
        <f t="shared" si="26"/>
        <v>784</v>
      </c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>
        <f t="shared" si="27"/>
        <v>0</v>
      </c>
    </row>
    <row r="786" spans="1:12" hidden="1" x14ac:dyDescent="0.45">
      <c r="A786" s="5">
        <f t="shared" si="26"/>
        <v>785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>
        <f t="shared" si="27"/>
        <v>0</v>
      </c>
    </row>
    <row r="787" spans="1:12" hidden="1" x14ac:dyDescent="0.45">
      <c r="A787" s="5">
        <f t="shared" si="26"/>
        <v>786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>
        <f t="shared" si="27"/>
        <v>0</v>
      </c>
    </row>
    <row r="788" spans="1:12" hidden="1" x14ac:dyDescent="0.45">
      <c r="A788" s="5">
        <f t="shared" si="26"/>
        <v>787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>
        <f t="shared" si="27"/>
        <v>0</v>
      </c>
    </row>
    <row r="789" spans="1:12" hidden="1" x14ac:dyDescent="0.45">
      <c r="A789" s="5">
        <f t="shared" si="26"/>
        <v>788</v>
      </c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>
        <f t="shared" si="27"/>
        <v>0</v>
      </c>
    </row>
    <row r="790" spans="1:12" hidden="1" x14ac:dyDescent="0.45">
      <c r="A790" s="5">
        <f t="shared" si="26"/>
        <v>789</v>
      </c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>
        <f t="shared" si="27"/>
        <v>0</v>
      </c>
    </row>
    <row r="791" spans="1:12" hidden="1" x14ac:dyDescent="0.45">
      <c r="A791" s="5">
        <f t="shared" si="26"/>
        <v>790</v>
      </c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>
        <f t="shared" si="27"/>
        <v>0</v>
      </c>
    </row>
    <row r="792" spans="1:12" hidden="1" x14ac:dyDescent="0.45">
      <c r="A792" s="5">
        <f t="shared" si="26"/>
        <v>791</v>
      </c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>
        <f t="shared" si="27"/>
        <v>0</v>
      </c>
    </row>
    <row r="793" spans="1:12" hidden="1" x14ac:dyDescent="0.45">
      <c r="A793" s="5">
        <f t="shared" si="26"/>
        <v>792</v>
      </c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>
        <f t="shared" si="27"/>
        <v>0</v>
      </c>
    </row>
    <row r="794" spans="1:12" hidden="1" x14ac:dyDescent="0.45">
      <c r="A794" s="5">
        <f t="shared" si="26"/>
        <v>793</v>
      </c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>
        <f t="shared" si="27"/>
        <v>0</v>
      </c>
    </row>
    <row r="795" spans="1:12" hidden="1" x14ac:dyDescent="0.45">
      <c r="A795" s="5">
        <f t="shared" si="26"/>
        <v>794</v>
      </c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>
        <f t="shared" si="27"/>
        <v>0</v>
      </c>
    </row>
    <row r="796" spans="1:12" hidden="1" x14ac:dyDescent="0.45">
      <c r="A796" s="5">
        <f t="shared" si="26"/>
        <v>795</v>
      </c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>
        <f t="shared" si="27"/>
        <v>0</v>
      </c>
    </row>
  </sheetData>
  <autoFilter ref="A1:L796" xr:uid="{00000000-0001-0000-0400-000000000000}">
    <filterColumn colId="3">
      <filters>
        <filter val="3"/>
      </filters>
    </filterColumn>
    <sortState xmlns:xlrd2="http://schemas.microsoft.com/office/spreadsheetml/2017/richdata2" ref="A11:L19">
      <sortCondition descending="1" ref="L1:L796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400-000000000000}">
          <x14:formula1>
            <xm:f>مرجع!$AC$2:$AC$5</xm:f>
          </x14:formula1>
          <xm:sqref>D277:D796 D36:D60 D136:D143 D179 D188:D203 D223 D250:D258 D10:D17</xm:sqref>
        </x14:dataValidation>
        <x14:dataValidation type="list" allowBlank="1" showInputMessage="1" showErrorMessage="1" xr:uid="{00000000-0002-0000-0400-000001000000}">
          <x14:formula1>
            <xm:f>مرجع!$F$2:$F$13</xm:f>
          </x14:formula1>
          <xm:sqref>C277:C796 C36:C60 C125:C143 C179:C203 C223 C10:C18</xm:sqref>
        </x14:dataValidation>
        <x14:dataValidation type="list" allowBlank="1" showInputMessage="1" showErrorMessage="1" xr:uid="{00000000-0002-0000-0400-000002000000}">
          <x14:formula1>
            <xm:f>مرجع!$C$2:$C$5</xm:f>
          </x14:formula1>
          <xm:sqref>B277:B796 B36:B60 B125:B143 B179:B203 B223 B10:B19</xm:sqref>
        </x14:dataValidation>
        <x14:dataValidation type="list" allowBlank="1" showInputMessage="1" showErrorMessage="1" xr:uid="{00000000-0002-0000-0400-000003000000}">
          <x14:formula1>
            <xm:f>مرجع!$P$2:$P$10</xm:f>
          </x14:formula1>
          <xm:sqref>E10 E19:E1048576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L100"/>
  <sheetViews>
    <sheetView rightToLeft="1" zoomScale="85" zoomScaleNormal="85" workbookViewId="0">
      <pane ySplit="1" topLeftCell="A2" activePane="bottomLeft" state="frozen"/>
      <selection activeCell="B1" sqref="B1"/>
      <selection pane="bottomLeft" activeCell="K10" sqref="K10"/>
    </sheetView>
  </sheetViews>
  <sheetFormatPr defaultRowHeight="14.25" x14ac:dyDescent="0.45"/>
  <cols>
    <col min="1" max="3" width="9.1328125" style="8"/>
    <col min="4" max="4" width="16.1328125" style="8" customWidth="1"/>
    <col min="5" max="5" width="19.59765625" style="8" customWidth="1"/>
    <col min="6" max="6" width="17.1328125" style="8" bestFit="1" customWidth="1"/>
    <col min="7" max="7" width="12.59765625" style="8" customWidth="1"/>
    <col min="8" max="8" width="10.86328125" style="8" customWidth="1"/>
    <col min="9" max="9" width="28" style="8" customWidth="1"/>
    <col min="10" max="10" width="11.265625" style="8" bestFit="1" customWidth="1"/>
    <col min="11" max="11" width="14.265625" style="8" bestFit="1" customWidth="1"/>
    <col min="12" max="12" width="9.1328125" style="8"/>
  </cols>
  <sheetData>
    <row r="1" spans="1:12" ht="21.4" x14ac:dyDescent="1">
      <c r="A1" s="9" t="s">
        <v>605</v>
      </c>
      <c r="B1" s="9" t="s">
        <v>606</v>
      </c>
      <c r="C1" s="9" t="s">
        <v>607</v>
      </c>
      <c r="D1" s="9" t="s">
        <v>608</v>
      </c>
      <c r="E1" s="9" t="s">
        <v>609</v>
      </c>
      <c r="F1" s="9" t="s">
        <v>610</v>
      </c>
      <c r="G1" s="9" t="s">
        <v>611</v>
      </c>
      <c r="H1" s="9" t="s">
        <v>612</v>
      </c>
      <c r="I1" s="32" t="s">
        <v>613</v>
      </c>
      <c r="J1" s="9" t="s">
        <v>616</v>
      </c>
      <c r="K1" s="9" t="s">
        <v>617</v>
      </c>
      <c r="L1" s="9" t="s">
        <v>614</v>
      </c>
    </row>
    <row r="2" spans="1:12" hidden="1" x14ac:dyDescent="0.45">
      <c r="A2" s="5">
        <f t="shared" ref="A2:A33" si="0">ROW(A2)-1</f>
        <v>1</v>
      </c>
      <c r="B2" s="5">
        <v>1405</v>
      </c>
      <c r="C2" s="5" t="s">
        <v>46</v>
      </c>
      <c r="D2" s="5">
        <v>2</v>
      </c>
      <c r="E2" s="5" t="s">
        <v>43</v>
      </c>
      <c r="F2" s="5">
        <v>4.8600000000000003</v>
      </c>
      <c r="G2" s="5">
        <v>4.24</v>
      </c>
      <c r="H2" s="5">
        <v>2.91</v>
      </c>
      <c r="I2" s="5">
        <v>4.5</v>
      </c>
      <c r="J2" s="5">
        <v>4.93</v>
      </c>
      <c r="K2" s="5">
        <v>4.91</v>
      </c>
      <c r="L2" s="5">
        <f t="shared" ref="L2:L33" si="1">((F2*1.25)+(G2*1.25)+(H2*0.75)+(I2*0.25)+(J2*0.75)+(K2*0.75))/5</f>
        <v>4.4125000000000005</v>
      </c>
    </row>
    <row r="3" spans="1:12" hidden="1" x14ac:dyDescent="0.45">
      <c r="A3" s="5">
        <f t="shared" si="0"/>
        <v>2</v>
      </c>
      <c r="B3" s="5">
        <v>1405</v>
      </c>
      <c r="C3" s="5" t="s">
        <v>46</v>
      </c>
      <c r="D3" s="5">
        <v>2</v>
      </c>
      <c r="E3" s="5" t="s">
        <v>57</v>
      </c>
      <c r="F3" s="5">
        <v>5</v>
      </c>
      <c r="G3" s="5">
        <v>4.24</v>
      </c>
      <c r="H3" s="5">
        <v>3.25</v>
      </c>
      <c r="I3" s="5">
        <v>5</v>
      </c>
      <c r="J3" s="5">
        <v>4.43</v>
      </c>
      <c r="K3" s="5">
        <v>4.33</v>
      </c>
      <c r="L3" s="5">
        <f t="shared" si="1"/>
        <v>4.3615000000000004</v>
      </c>
    </row>
    <row r="4" spans="1:12" hidden="1" x14ac:dyDescent="0.45">
      <c r="A4" s="5">
        <f t="shared" si="0"/>
        <v>3</v>
      </c>
      <c r="B4" s="5">
        <v>1405</v>
      </c>
      <c r="C4" s="5" t="s">
        <v>46</v>
      </c>
      <c r="D4" s="5">
        <v>2</v>
      </c>
      <c r="E4" s="5" t="s">
        <v>36</v>
      </c>
      <c r="F4" s="5">
        <v>4.33</v>
      </c>
      <c r="G4" s="5">
        <v>4.07</v>
      </c>
      <c r="H4" s="5">
        <v>3</v>
      </c>
      <c r="I4" s="5">
        <v>3.75</v>
      </c>
      <c r="J4" s="5">
        <v>4.5599999999999996</v>
      </c>
      <c r="K4" s="5">
        <v>3.58</v>
      </c>
      <c r="L4" s="5">
        <f t="shared" si="1"/>
        <v>3.9584999999999999</v>
      </c>
    </row>
    <row r="5" spans="1:12" hidden="1" x14ac:dyDescent="0.45">
      <c r="A5" s="5">
        <f t="shared" si="0"/>
        <v>4</v>
      </c>
      <c r="B5" s="5">
        <v>1405</v>
      </c>
      <c r="C5" s="5" t="s">
        <v>46</v>
      </c>
      <c r="D5" s="5">
        <v>2</v>
      </c>
      <c r="E5" s="5" t="s">
        <v>603</v>
      </c>
      <c r="F5" s="5">
        <v>4.46</v>
      </c>
      <c r="G5" s="5">
        <v>3.87</v>
      </c>
      <c r="H5" s="5">
        <v>3</v>
      </c>
      <c r="I5" s="5">
        <v>3.75</v>
      </c>
      <c r="J5" s="5">
        <v>3.56</v>
      </c>
      <c r="K5" s="5">
        <v>3.66</v>
      </c>
      <c r="L5" s="5">
        <f t="shared" si="1"/>
        <v>3.8030000000000008</v>
      </c>
    </row>
    <row r="6" spans="1:12" hidden="1" x14ac:dyDescent="0.45">
      <c r="A6" s="5">
        <f t="shared" si="0"/>
        <v>5</v>
      </c>
      <c r="B6" s="5">
        <v>1405</v>
      </c>
      <c r="C6" s="5" t="s">
        <v>46</v>
      </c>
      <c r="D6" s="5">
        <v>2</v>
      </c>
      <c r="E6" s="5" t="s">
        <v>20</v>
      </c>
      <c r="F6" s="5">
        <v>3.66</v>
      </c>
      <c r="G6" s="5">
        <v>3.87</v>
      </c>
      <c r="H6" s="5">
        <v>2.41</v>
      </c>
      <c r="I6" s="5">
        <v>3</v>
      </c>
      <c r="J6" s="5">
        <v>3.75</v>
      </c>
      <c r="K6" s="5">
        <v>3.58</v>
      </c>
      <c r="L6" s="5">
        <f t="shared" si="1"/>
        <v>3.4935</v>
      </c>
    </row>
    <row r="7" spans="1:12" x14ac:dyDescent="0.45">
      <c r="A7" s="5">
        <f>ROW(A7)-1</f>
        <v>6</v>
      </c>
      <c r="B7" s="5">
        <v>1405</v>
      </c>
      <c r="C7" s="5" t="s">
        <v>46</v>
      </c>
      <c r="D7" s="5">
        <v>3</v>
      </c>
      <c r="E7" s="5" t="s">
        <v>57</v>
      </c>
      <c r="F7" s="5">
        <v>4.5999999999999996</v>
      </c>
      <c r="G7" s="5">
        <v>4.3</v>
      </c>
      <c r="H7" s="5">
        <v>3.25</v>
      </c>
      <c r="I7" s="5">
        <v>4.5</v>
      </c>
      <c r="J7" s="5">
        <v>4.7</v>
      </c>
      <c r="K7" s="5">
        <v>4.166666666666667</v>
      </c>
      <c r="L7" s="5">
        <f>((F7*1.25)+(G7*1.25)+(H7*0.75)+(I7*0.25)+(J7*0.75)+(K7*0.75))/5</f>
        <v>4.2675000000000001</v>
      </c>
    </row>
    <row r="8" spans="1:12" x14ac:dyDescent="0.45">
      <c r="A8" s="5">
        <f>ROW(A8)-1</f>
        <v>7</v>
      </c>
      <c r="B8" s="5">
        <v>1405</v>
      </c>
      <c r="C8" s="5" t="s">
        <v>46</v>
      </c>
      <c r="D8" s="5">
        <v>3</v>
      </c>
      <c r="E8" s="5" t="s">
        <v>20</v>
      </c>
      <c r="F8" s="5">
        <v>4.333333333333333</v>
      </c>
      <c r="G8" s="5">
        <v>4.4000000000000004</v>
      </c>
      <c r="H8" s="5">
        <v>2.8</v>
      </c>
      <c r="I8" s="5">
        <v>4.25</v>
      </c>
      <c r="J8" s="5">
        <v>4.5</v>
      </c>
      <c r="K8" s="5">
        <v>4.1333330000000004</v>
      </c>
      <c r="L8" s="5">
        <f>((F8*1.25)+(G8*1.25)+(H8*0.75)+(I8*0.25)+(J8*0.75)+(K8*0.75))/5</f>
        <v>4.1108332833333332</v>
      </c>
    </row>
    <row r="9" spans="1:12" x14ac:dyDescent="0.45">
      <c r="A9" s="5">
        <f>ROW(A9)-1</f>
        <v>8</v>
      </c>
      <c r="B9" s="5">
        <v>1405</v>
      </c>
      <c r="C9" s="5" t="s">
        <v>46</v>
      </c>
      <c r="D9" s="5">
        <v>3</v>
      </c>
      <c r="E9" s="5" t="s">
        <v>43</v>
      </c>
      <c r="F9" s="5">
        <v>4.5</v>
      </c>
      <c r="G9" s="5">
        <v>4.4000000000000004</v>
      </c>
      <c r="H9" s="5">
        <v>2.91</v>
      </c>
      <c r="I9" s="5">
        <v>4.5</v>
      </c>
      <c r="J9" s="5">
        <v>4.3</v>
      </c>
      <c r="K9" s="5">
        <v>3.8333333333333335</v>
      </c>
      <c r="L9" s="5">
        <f>((F9*1.25)+(G9*1.25)+(H9*0.75)+(I9*0.25)+(J9*0.75)+(K9*0.75))/5</f>
        <v>4.1064999999999996</v>
      </c>
    </row>
    <row r="10" spans="1:12" x14ac:dyDescent="0.45">
      <c r="A10" s="5">
        <f>ROW(A10)-1</f>
        <v>9</v>
      </c>
      <c r="B10" s="5">
        <v>1405</v>
      </c>
      <c r="C10" s="5" t="s">
        <v>46</v>
      </c>
      <c r="D10" s="5">
        <v>3</v>
      </c>
      <c r="E10" s="5" t="s">
        <v>603</v>
      </c>
      <c r="F10" s="5">
        <v>4.2</v>
      </c>
      <c r="G10" s="5">
        <v>4</v>
      </c>
      <c r="H10" s="5">
        <v>3</v>
      </c>
      <c r="I10" s="5">
        <v>3.5</v>
      </c>
      <c r="J10" s="5">
        <v>3.56</v>
      </c>
      <c r="K10" s="5">
        <v>3.9166666666666665</v>
      </c>
      <c r="L10" s="5">
        <f>((F10*1.25)+(G10*1.25)+(H10*0.75)+(I10*0.25)+(J10*0.75)+(K10*0.75))/5</f>
        <v>3.7965000000000004</v>
      </c>
    </row>
    <row r="11" spans="1:12" x14ac:dyDescent="0.45">
      <c r="A11" s="5">
        <f>ROW(A11)-1</f>
        <v>10</v>
      </c>
      <c r="B11" s="5">
        <v>1405</v>
      </c>
      <c r="C11" s="5" t="s">
        <v>46</v>
      </c>
      <c r="D11" s="5">
        <v>3</v>
      </c>
      <c r="E11" s="5" t="s">
        <v>36</v>
      </c>
      <c r="F11" s="5">
        <v>3.2</v>
      </c>
      <c r="G11" s="5">
        <v>4</v>
      </c>
      <c r="H11" s="5">
        <v>3</v>
      </c>
      <c r="I11" s="5">
        <v>3</v>
      </c>
      <c r="J11" s="5">
        <v>4.5599999999999996</v>
      </c>
      <c r="K11" s="5">
        <v>3.8</v>
      </c>
      <c r="L11" s="5">
        <f>((F11*1.25)+(G11*1.25)+(H11*0.75)+(I11*0.25)+(J11*0.75)+(K11*0.75))/5</f>
        <v>3.6539999999999999</v>
      </c>
    </row>
    <row r="12" spans="1:12" hidden="1" x14ac:dyDescent="0.45">
      <c r="A12" s="5">
        <f t="shared" si="0"/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f t="shared" si="1"/>
        <v>0</v>
      </c>
    </row>
    <row r="13" spans="1:12" hidden="1" x14ac:dyDescent="0.45">
      <c r="A13" s="5">
        <f t="shared" si="0"/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f t="shared" si="1"/>
        <v>0</v>
      </c>
    </row>
    <row r="14" spans="1:12" hidden="1" x14ac:dyDescent="0.45">
      <c r="A14" s="5">
        <f t="shared" si="0"/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f t="shared" si="1"/>
        <v>0</v>
      </c>
    </row>
    <row r="15" spans="1:12" hidden="1" x14ac:dyDescent="0.45">
      <c r="A15" s="5">
        <f t="shared" si="0"/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f t="shared" si="1"/>
        <v>0</v>
      </c>
    </row>
    <row r="16" spans="1:12" hidden="1" x14ac:dyDescent="0.45">
      <c r="A16" s="5">
        <f t="shared" si="0"/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>
        <f t="shared" si="1"/>
        <v>0</v>
      </c>
    </row>
    <row r="17" spans="1:12" hidden="1" x14ac:dyDescent="0.45">
      <c r="A17" s="5">
        <f t="shared" si="0"/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f t="shared" si="1"/>
        <v>0</v>
      </c>
    </row>
    <row r="18" spans="1:12" hidden="1" x14ac:dyDescent="0.45">
      <c r="A18" s="5">
        <f t="shared" si="0"/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f t="shared" si="1"/>
        <v>0</v>
      </c>
    </row>
    <row r="19" spans="1:12" hidden="1" x14ac:dyDescent="0.45">
      <c r="A19" s="5">
        <f t="shared" si="0"/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f t="shared" si="1"/>
        <v>0</v>
      </c>
    </row>
    <row r="20" spans="1:12" hidden="1" x14ac:dyDescent="0.45">
      <c r="A20" s="5">
        <f t="shared" si="0"/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>
        <f t="shared" si="1"/>
        <v>0</v>
      </c>
    </row>
    <row r="21" spans="1:12" hidden="1" x14ac:dyDescent="0.45">
      <c r="A21" s="5">
        <f t="shared" si="0"/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f t="shared" si="1"/>
        <v>0</v>
      </c>
    </row>
    <row r="22" spans="1:12" hidden="1" x14ac:dyDescent="0.45">
      <c r="A22" s="5">
        <f t="shared" si="0"/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f t="shared" si="1"/>
        <v>0</v>
      </c>
    </row>
    <row r="23" spans="1:12" hidden="1" x14ac:dyDescent="0.45">
      <c r="A23" s="5">
        <f t="shared" si="0"/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f t="shared" si="1"/>
        <v>0</v>
      </c>
    </row>
    <row r="24" spans="1:12" hidden="1" x14ac:dyDescent="0.45">
      <c r="A24" s="5">
        <f t="shared" si="0"/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f t="shared" si="1"/>
        <v>0</v>
      </c>
    </row>
    <row r="25" spans="1:12" hidden="1" x14ac:dyDescent="0.45">
      <c r="A25" s="5">
        <f t="shared" si="0"/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>
        <f t="shared" si="1"/>
        <v>0</v>
      </c>
    </row>
    <row r="26" spans="1:12" hidden="1" x14ac:dyDescent="0.45">
      <c r="A26" s="5">
        <f t="shared" si="0"/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f t="shared" si="1"/>
        <v>0</v>
      </c>
    </row>
    <row r="27" spans="1:12" hidden="1" x14ac:dyDescent="0.45">
      <c r="A27" s="5">
        <f t="shared" si="0"/>
        <v>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f t="shared" si="1"/>
        <v>0</v>
      </c>
    </row>
    <row r="28" spans="1:12" hidden="1" x14ac:dyDescent="0.45">
      <c r="A28" s="5">
        <f t="shared" si="0"/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f t="shared" si="1"/>
        <v>0</v>
      </c>
    </row>
    <row r="29" spans="1:12" hidden="1" x14ac:dyDescent="0.45">
      <c r="A29" s="5">
        <f t="shared" si="0"/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>
        <f t="shared" si="1"/>
        <v>0</v>
      </c>
    </row>
    <row r="30" spans="1:12" hidden="1" x14ac:dyDescent="0.45">
      <c r="A30" s="5">
        <f t="shared" si="0"/>
        <v>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f t="shared" si="1"/>
        <v>0</v>
      </c>
    </row>
    <row r="31" spans="1:12" hidden="1" x14ac:dyDescent="0.45">
      <c r="A31" s="5">
        <f t="shared" si="0"/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>
        <f t="shared" si="1"/>
        <v>0</v>
      </c>
    </row>
    <row r="32" spans="1:12" hidden="1" x14ac:dyDescent="0.45">
      <c r="A32" s="5">
        <f t="shared" si="0"/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f t="shared" si="1"/>
        <v>0</v>
      </c>
    </row>
    <row r="33" spans="1:12" hidden="1" x14ac:dyDescent="0.45">
      <c r="A33" s="5">
        <f t="shared" si="0"/>
        <v>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f t="shared" si="1"/>
        <v>0</v>
      </c>
    </row>
    <row r="34" spans="1:12" hidden="1" x14ac:dyDescent="0.45">
      <c r="A34" s="5">
        <f t="shared" ref="A34:A65" si="2">ROW(A34)-1</f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f t="shared" ref="L34:L65" si="3">((F34*1.25)+(G34*1.25)+(H34*0.75)+(I34*0.25)+(J34*0.75)+(K34*0.75))/5</f>
        <v>0</v>
      </c>
    </row>
    <row r="35" spans="1:12" hidden="1" x14ac:dyDescent="0.45">
      <c r="A35" s="5">
        <f t="shared" si="2"/>
        <v>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f t="shared" si="3"/>
        <v>0</v>
      </c>
    </row>
    <row r="36" spans="1:12" hidden="1" x14ac:dyDescent="0.45">
      <c r="A36" s="5">
        <f t="shared" si="2"/>
        <v>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f t="shared" si="3"/>
        <v>0</v>
      </c>
    </row>
    <row r="37" spans="1:12" hidden="1" x14ac:dyDescent="0.45">
      <c r="A37" s="5">
        <f t="shared" si="2"/>
        <v>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>
        <f t="shared" si="3"/>
        <v>0</v>
      </c>
    </row>
    <row r="38" spans="1:12" hidden="1" x14ac:dyDescent="0.45">
      <c r="A38" s="5">
        <f t="shared" si="2"/>
        <v>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>
        <f t="shared" si="3"/>
        <v>0</v>
      </c>
    </row>
    <row r="39" spans="1:12" hidden="1" x14ac:dyDescent="0.45">
      <c r="A39" s="5">
        <f t="shared" si="2"/>
        <v>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f t="shared" si="3"/>
        <v>0</v>
      </c>
    </row>
    <row r="40" spans="1:12" hidden="1" x14ac:dyDescent="0.45">
      <c r="A40" s="5">
        <f t="shared" si="2"/>
        <v>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>
        <f t="shared" si="3"/>
        <v>0</v>
      </c>
    </row>
    <row r="41" spans="1:12" hidden="1" x14ac:dyDescent="0.45">
      <c r="A41" s="5">
        <f t="shared" si="2"/>
        <v>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f t="shared" si="3"/>
        <v>0</v>
      </c>
    </row>
    <row r="42" spans="1:12" hidden="1" x14ac:dyDescent="0.45">
      <c r="A42" s="5">
        <f t="shared" si="2"/>
        <v>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f t="shared" si="3"/>
        <v>0</v>
      </c>
    </row>
    <row r="43" spans="1:12" hidden="1" x14ac:dyDescent="0.45">
      <c r="A43" s="5">
        <f t="shared" si="2"/>
        <v>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f t="shared" si="3"/>
        <v>0</v>
      </c>
    </row>
    <row r="44" spans="1:12" hidden="1" x14ac:dyDescent="0.45">
      <c r="A44" s="5">
        <f t="shared" si="2"/>
        <v>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f t="shared" si="3"/>
        <v>0</v>
      </c>
    </row>
    <row r="45" spans="1:12" hidden="1" x14ac:dyDescent="0.45">
      <c r="A45" s="5">
        <f t="shared" si="2"/>
        <v>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f t="shared" si="3"/>
        <v>0</v>
      </c>
    </row>
    <row r="46" spans="1:12" hidden="1" x14ac:dyDescent="0.45">
      <c r="A46" s="5">
        <f t="shared" si="2"/>
        <v>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f t="shared" si="3"/>
        <v>0</v>
      </c>
    </row>
    <row r="47" spans="1:12" hidden="1" x14ac:dyDescent="0.45">
      <c r="A47" s="5">
        <f t="shared" si="2"/>
        <v>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f t="shared" si="3"/>
        <v>0</v>
      </c>
    </row>
    <row r="48" spans="1:12" hidden="1" x14ac:dyDescent="0.45">
      <c r="A48" s="5">
        <f t="shared" si="2"/>
        <v>47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f t="shared" si="3"/>
        <v>0</v>
      </c>
    </row>
    <row r="49" spans="1:12" hidden="1" x14ac:dyDescent="0.45">
      <c r="A49" s="5">
        <f t="shared" si="2"/>
        <v>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>
        <f t="shared" si="3"/>
        <v>0</v>
      </c>
    </row>
    <row r="50" spans="1:12" hidden="1" x14ac:dyDescent="0.45">
      <c r="A50" s="5">
        <f t="shared" si="2"/>
        <v>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>
        <f t="shared" si="3"/>
        <v>0</v>
      </c>
    </row>
    <row r="51" spans="1:12" hidden="1" x14ac:dyDescent="0.45">
      <c r="A51" s="5">
        <f t="shared" si="2"/>
        <v>50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>
        <f t="shared" si="3"/>
        <v>0</v>
      </c>
    </row>
    <row r="52" spans="1:12" hidden="1" x14ac:dyDescent="0.45">
      <c r="A52" s="5">
        <f t="shared" si="2"/>
        <v>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f t="shared" si="3"/>
        <v>0</v>
      </c>
    </row>
    <row r="53" spans="1:12" hidden="1" x14ac:dyDescent="0.45">
      <c r="A53" s="5">
        <f t="shared" si="2"/>
        <v>52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f t="shared" si="3"/>
        <v>0</v>
      </c>
    </row>
    <row r="54" spans="1:12" hidden="1" x14ac:dyDescent="0.45">
      <c r="A54" s="5">
        <f t="shared" si="2"/>
        <v>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>
        <f t="shared" si="3"/>
        <v>0</v>
      </c>
    </row>
    <row r="55" spans="1:12" hidden="1" x14ac:dyDescent="0.45">
      <c r="A55" s="5">
        <f t="shared" si="2"/>
        <v>54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>
        <f t="shared" si="3"/>
        <v>0</v>
      </c>
    </row>
    <row r="56" spans="1:12" hidden="1" x14ac:dyDescent="0.45">
      <c r="A56" s="5">
        <f t="shared" si="2"/>
        <v>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>
        <f t="shared" si="3"/>
        <v>0</v>
      </c>
    </row>
    <row r="57" spans="1:12" hidden="1" x14ac:dyDescent="0.45">
      <c r="A57" s="5">
        <f t="shared" si="2"/>
        <v>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>
        <f t="shared" si="3"/>
        <v>0</v>
      </c>
    </row>
    <row r="58" spans="1:12" hidden="1" x14ac:dyDescent="0.45">
      <c r="A58" s="5">
        <f t="shared" si="2"/>
        <v>57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f t="shared" si="3"/>
        <v>0</v>
      </c>
    </row>
    <row r="59" spans="1:12" hidden="1" x14ac:dyDescent="0.45">
      <c r="A59" s="5">
        <f t="shared" si="2"/>
        <v>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f t="shared" si="3"/>
        <v>0</v>
      </c>
    </row>
    <row r="60" spans="1:12" hidden="1" x14ac:dyDescent="0.45">
      <c r="A60" s="5">
        <f t="shared" si="2"/>
        <v>59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f t="shared" si="3"/>
        <v>0</v>
      </c>
    </row>
    <row r="61" spans="1:12" hidden="1" x14ac:dyDescent="0.45">
      <c r="A61" s="5">
        <f t="shared" si="2"/>
        <v>60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f t="shared" si="3"/>
        <v>0</v>
      </c>
    </row>
    <row r="62" spans="1:12" hidden="1" x14ac:dyDescent="0.45">
      <c r="A62" s="5">
        <f t="shared" si="2"/>
        <v>61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f t="shared" si="3"/>
        <v>0</v>
      </c>
    </row>
    <row r="63" spans="1:12" hidden="1" x14ac:dyDescent="0.45">
      <c r="A63" s="5">
        <f t="shared" si="2"/>
        <v>62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f t="shared" si="3"/>
        <v>0</v>
      </c>
    </row>
    <row r="64" spans="1:12" hidden="1" x14ac:dyDescent="0.45">
      <c r="A64" s="5">
        <f t="shared" si="2"/>
        <v>63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>
        <f t="shared" si="3"/>
        <v>0</v>
      </c>
    </row>
    <row r="65" spans="1:12" hidden="1" x14ac:dyDescent="0.45">
      <c r="A65" s="5">
        <f t="shared" si="2"/>
        <v>64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f t="shared" si="3"/>
        <v>0</v>
      </c>
    </row>
    <row r="66" spans="1:12" hidden="1" x14ac:dyDescent="0.45">
      <c r="A66" s="5">
        <f t="shared" ref="A66:A100" si="4">ROW(A66)-1</f>
        <v>65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f t="shared" ref="L66:L97" si="5">((F66*1.25)+(G66*1.25)+(H66*0.75)+(I66*0.25)+(J66*0.75)+(K66*0.75))/5</f>
        <v>0</v>
      </c>
    </row>
    <row r="67" spans="1:12" hidden="1" x14ac:dyDescent="0.45">
      <c r="A67" s="5">
        <f t="shared" si="4"/>
        <v>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f t="shared" si="5"/>
        <v>0</v>
      </c>
    </row>
    <row r="68" spans="1:12" hidden="1" x14ac:dyDescent="0.45">
      <c r="A68" s="5">
        <f t="shared" si="4"/>
        <v>67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f t="shared" si="5"/>
        <v>0</v>
      </c>
    </row>
    <row r="69" spans="1:12" hidden="1" x14ac:dyDescent="0.45">
      <c r="A69" s="5">
        <f t="shared" si="4"/>
        <v>68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>
        <f t="shared" si="5"/>
        <v>0</v>
      </c>
    </row>
    <row r="70" spans="1:12" hidden="1" x14ac:dyDescent="0.45">
      <c r="A70" s="5">
        <f t="shared" si="4"/>
        <v>69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f t="shared" si="5"/>
        <v>0</v>
      </c>
    </row>
    <row r="71" spans="1:12" hidden="1" x14ac:dyDescent="0.45">
      <c r="A71" s="5">
        <f t="shared" si="4"/>
        <v>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f t="shared" si="5"/>
        <v>0</v>
      </c>
    </row>
    <row r="72" spans="1:12" hidden="1" x14ac:dyDescent="0.45">
      <c r="A72" s="5">
        <f t="shared" si="4"/>
        <v>71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f t="shared" si="5"/>
        <v>0</v>
      </c>
    </row>
    <row r="73" spans="1:12" hidden="1" x14ac:dyDescent="0.45">
      <c r="A73" s="5">
        <f t="shared" si="4"/>
        <v>72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f t="shared" si="5"/>
        <v>0</v>
      </c>
    </row>
    <row r="74" spans="1:12" hidden="1" x14ac:dyDescent="0.45">
      <c r="A74" s="5">
        <f t="shared" si="4"/>
        <v>73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f t="shared" si="5"/>
        <v>0</v>
      </c>
    </row>
    <row r="75" spans="1:12" hidden="1" x14ac:dyDescent="0.45">
      <c r="A75" s="5">
        <f t="shared" si="4"/>
        <v>74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f t="shared" si="5"/>
        <v>0</v>
      </c>
    </row>
    <row r="76" spans="1:12" hidden="1" x14ac:dyDescent="0.45">
      <c r="A76" s="5">
        <f t="shared" si="4"/>
        <v>75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>
        <f t="shared" si="5"/>
        <v>0</v>
      </c>
    </row>
    <row r="77" spans="1:12" hidden="1" x14ac:dyDescent="0.45">
      <c r="A77" s="5">
        <f t="shared" si="4"/>
        <v>76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>
        <f t="shared" si="5"/>
        <v>0</v>
      </c>
    </row>
    <row r="78" spans="1:12" hidden="1" x14ac:dyDescent="0.45">
      <c r="A78" s="5">
        <f t="shared" si="4"/>
        <v>77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f t="shared" si="5"/>
        <v>0</v>
      </c>
    </row>
    <row r="79" spans="1:12" hidden="1" x14ac:dyDescent="0.45">
      <c r="A79" s="5">
        <f t="shared" si="4"/>
        <v>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>
        <f t="shared" si="5"/>
        <v>0</v>
      </c>
    </row>
    <row r="80" spans="1:12" hidden="1" x14ac:dyDescent="0.45">
      <c r="A80" s="5">
        <f t="shared" si="4"/>
        <v>79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>
        <f t="shared" si="5"/>
        <v>0</v>
      </c>
    </row>
    <row r="81" spans="1:12" hidden="1" x14ac:dyDescent="0.45">
      <c r="A81" s="5">
        <f t="shared" si="4"/>
        <v>80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>
        <f t="shared" si="5"/>
        <v>0</v>
      </c>
    </row>
    <row r="82" spans="1:12" hidden="1" x14ac:dyDescent="0.45">
      <c r="A82" s="5">
        <f t="shared" si="4"/>
        <v>81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>
        <f t="shared" si="5"/>
        <v>0</v>
      </c>
    </row>
    <row r="83" spans="1:12" hidden="1" x14ac:dyDescent="0.45">
      <c r="A83" s="5">
        <f t="shared" si="4"/>
        <v>82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>
        <f t="shared" si="5"/>
        <v>0</v>
      </c>
    </row>
    <row r="84" spans="1:12" hidden="1" x14ac:dyDescent="0.45">
      <c r="A84" s="5">
        <f t="shared" si="4"/>
        <v>83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>
        <f t="shared" si="5"/>
        <v>0</v>
      </c>
    </row>
    <row r="85" spans="1:12" hidden="1" x14ac:dyDescent="0.45">
      <c r="A85" s="5">
        <f t="shared" si="4"/>
        <v>84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f t="shared" si="5"/>
        <v>0</v>
      </c>
    </row>
    <row r="86" spans="1:12" hidden="1" x14ac:dyDescent="0.45">
      <c r="A86" s="5">
        <f t="shared" si="4"/>
        <v>85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>
        <f t="shared" si="5"/>
        <v>0</v>
      </c>
    </row>
    <row r="87" spans="1:12" hidden="1" x14ac:dyDescent="0.45">
      <c r="A87" s="5">
        <f t="shared" si="4"/>
        <v>86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>
        <f t="shared" si="5"/>
        <v>0</v>
      </c>
    </row>
    <row r="88" spans="1:12" hidden="1" x14ac:dyDescent="0.45">
      <c r="A88" s="5">
        <f t="shared" si="4"/>
        <v>87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>
        <f t="shared" si="5"/>
        <v>0</v>
      </c>
    </row>
    <row r="89" spans="1:12" hidden="1" x14ac:dyDescent="0.45">
      <c r="A89" s="5">
        <f t="shared" si="4"/>
        <v>88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f t="shared" si="5"/>
        <v>0</v>
      </c>
    </row>
    <row r="90" spans="1:12" hidden="1" x14ac:dyDescent="0.45">
      <c r="A90" s="5">
        <f t="shared" si="4"/>
        <v>89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f t="shared" si="5"/>
        <v>0</v>
      </c>
    </row>
    <row r="91" spans="1:12" hidden="1" x14ac:dyDescent="0.45">
      <c r="A91" s="5">
        <f t="shared" si="4"/>
        <v>90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f t="shared" si="5"/>
        <v>0</v>
      </c>
    </row>
    <row r="92" spans="1:12" hidden="1" x14ac:dyDescent="0.45">
      <c r="A92" s="5">
        <f t="shared" si="4"/>
        <v>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f t="shared" si="5"/>
        <v>0</v>
      </c>
    </row>
    <row r="93" spans="1:12" hidden="1" x14ac:dyDescent="0.45">
      <c r="A93" s="5">
        <f t="shared" si="4"/>
        <v>92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>
        <f t="shared" si="5"/>
        <v>0</v>
      </c>
    </row>
    <row r="94" spans="1:12" hidden="1" x14ac:dyDescent="0.45">
      <c r="A94" s="5">
        <f t="shared" si="4"/>
        <v>93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f t="shared" si="5"/>
        <v>0</v>
      </c>
    </row>
    <row r="95" spans="1:12" hidden="1" x14ac:dyDescent="0.45">
      <c r="A95" s="5">
        <f t="shared" si="4"/>
        <v>94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f t="shared" si="5"/>
        <v>0</v>
      </c>
    </row>
    <row r="96" spans="1:12" hidden="1" x14ac:dyDescent="0.45">
      <c r="A96" s="5">
        <f t="shared" si="4"/>
        <v>95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>
        <f t="shared" si="5"/>
        <v>0</v>
      </c>
    </row>
    <row r="97" spans="1:12" hidden="1" x14ac:dyDescent="0.45">
      <c r="A97" s="5">
        <f t="shared" si="4"/>
        <v>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>
        <f t="shared" si="5"/>
        <v>0</v>
      </c>
    </row>
    <row r="98" spans="1:12" hidden="1" x14ac:dyDescent="0.45">
      <c r="A98" s="5">
        <f t="shared" si="4"/>
        <v>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>
        <f t="shared" ref="L98:L100" si="6">((F98*1.25)+(G98*1.25)+(H98*0.75)+(I98*0.25)+(J98*0.75)+(K98*0.75))/5</f>
        <v>0</v>
      </c>
    </row>
    <row r="99" spans="1:12" hidden="1" x14ac:dyDescent="0.45">
      <c r="A99" s="5">
        <f t="shared" si="4"/>
        <v>98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>
        <f t="shared" si="6"/>
        <v>0</v>
      </c>
    </row>
    <row r="100" spans="1:12" hidden="1" x14ac:dyDescent="0.45">
      <c r="A100" s="5">
        <f t="shared" si="4"/>
        <v>99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>
        <f t="shared" si="6"/>
        <v>0</v>
      </c>
    </row>
  </sheetData>
  <autoFilter ref="A1:L100" xr:uid="{00000000-0001-0000-0500-000000000000}">
    <filterColumn colId="3">
      <filters>
        <filter val="3"/>
      </filters>
    </filterColumn>
    <sortState xmlns:xlrd2="http://schemas.microsoft.com/office/spreadsheetml/2017/richdata2" ref="A7:L11">
      <sortCondition descending="1" ref="L1:L100"/>
    </sortState>
  </autoFilter>
  <dataValidations count="1">
    <dataValidation type="list" allowBlank="1" showInputMessage="1" showErrorMessage="1" sqref="B59:C61" xr:uid="{00000000-0002-0000-0500-00000000000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مرجع!$C$2:$C$5</xm:f>
          </x14:formula1>
          <xm:sqref>B97:B100 B17:B22 B26:B28 B43:B48 B51:B52 B56:B58 B62:B67</xm:sqref>
        </x14:dataValidation>
        <x14:dataValidation type="list" allowBlank="1" showInputMessage="1" showErrorMessage="1" xr:uid="{00000000-0002-0000-0500-000002000000}">
          <x14:formula1>
            <xm:f>مرجع!$F$2:$F$13</xm:f>
          </x14:formula1>
          <xm:sqref>C97:C100 C17:C22 C26:C28 C43:C48 C51:C52 C56:C58 C62:C67</xm:sqref>
        </x14:dataValidation>
        <x14:dataValidation type="list" allowBlank="1" showInputMessage="1" showErrorMessage="1" xr:uid="{00000000-0002-0000-0500-000003000000}">
          <x14:formula1>
            <xm:f>مرجع!$AC$2:$AC$5</xm:f>
          </x14:formula1>
          <xm:sqref>D97:D100 D17:D22 D26:D28 D43:D48 D51:D52 D56:D58 D62:D67 D7</xm:sqref>
        </x14:dataValidation>
        <x14:dataValidation type="list" allowBlank="1" showInputMessage="1" showErrorMessage="1" xr:uid="{00000000-0002-0000-0500-000004000000}">
          <x14:formula1>
            <xm:f>مرجع!$V$2:$V$8</xm:f>
          </x14:formula1>
          <xm:sqref>E12:E1048576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3"/>
  <sheetViews>
    <sheetView rightToLeft="1" topLeftCell="A285" workbookViewId="0">
      <selection activeCell="K36" sqref="K36"/>
    </sheetView>
  </sheetViews>
  <sheetFormatPr defaultRowHeight="14.25" x14ac:dyDescent="0.45"/>
  <cols>
    <col min="1" max="1" width="8.59765625" style="8" customWidth="1"/>
    <col min="2" max="2" width="10.3984375" style="8" bestFit="1" customWidth="1"/>
    <col min="3" max="3" width="21.3984375" style="8" bestFit="1" customWidth="1"/>
    <col min="4" max="4" width="8.59765625" style="8" hidden="1" customWidth="1"/>
    <col min="5" max="5" width="10.3984375" style="8" bestFit="1" customWidth="1"/>
    <col min="6" max="6" width="8.59765625" style="8" hidden="1" customWidth="1"/>
    <col min="7" max="7" width="14.59765625" style="8" bestFit="1" customWidth="1"/>
    <col min="8" max="8" width="15.73046875" style="8" hidden="1" customWidth="1"/>
    <col min="9" max="9" width="20.86328125" style="8" bestFit="1" customWidth="1"/>
    <col min="10" max="10" width="15.59765625" style="8" hidden="1" customWidth="1"/>
    <col min="11" max="11" width="17.1328125" style="8" bestFit="1" customWidth="1"/>
    <col min="12" max="12" width="18.3984375" style="8" bestFit="1" customWidth="1"/>
  </cols>
  <sheetData>
    <row r="1" spans="1:12" s="26" customFormat="1" ht="21.4" x14ac:dyDescent="1">
      <c r="A1" s="23" t="s">
        <v>343</v>
      </c>
      <c r="B1" s="24" t="s">
        <v>0</v>
      </c>
      <c r="C1" s="24" t="s">
        <v>342</v>
      </c>
      <c r="D1" s="24" t="s">
        <v>349</v>
      </c>
      <c r="E1" s="24" t="s">
        <v>344</v>
      </c>
      <c r="F1" s="24" t="s">
        <v>350</v>
      </c>
      <c r="G1" s="24" t="s">
        <v>345</v>
      </c>
      <c r="H1" s="24" t="s">
        <v>351</v>
      </c>
      <c r="I1" s="24" t="s">
        <v>347</v>
      </c>
      <c r="J1" s="24" t="s">
        <v>352</v>
      </c>
      <c r="K1" s="24" t="s">
        <v>348</v>
      </c>
      <c r="L1" s="25" t="s">
        <v>346</v>
      </c>
    </row>
    <row r="2" spans="1:12" x14ac:dyDescent="0.45">
      <c r="A2" s="10">
        <f>ROW(A2)-1</f>
        <v>1</v>
      </c>
      <c r="B2" s="5" t="s">
        <v>70</v>
      </c>
      <c r="C2" s="5" t="s">
        <v>355</v>
      </c>
      <c r="D2" s="5">
        <f>E2*20000</f>
        <v>20000</v>
      </c>
      <c r="E2" s="5">
        <v>1</v>
      </c>
      <c r="F2" s="5">
        <f>G2*40000*2</f>
        <v>0</v>
      </c>
      <c r="G2" s="5">
        <v>0</v>
      </c>
      <c r="H2" s="5">
        <f>I2*50000</f>
        <v>0</v>
      </c>
      <c r="I2" s="5">
        <v>0</v>
      </c>
      <c r="J2" s="5">
        <f>K2*20000</f>
        <v>0</v>
      </c>
      <c r="K2" s="5">
        <v>0</v>
      </c>
      <c r="L2" s="6">
        <f t="shared" ref="L2:L33" si="0">200000-H2-F2-D2-J2</f>
        <v>180000</v>
      </c>
    </row>
    <row r="3" spans="1:12" x14ac:dyDescent="0.45">
      <c r="A3" s="10">
        <f t="shared" ref="A3:A66" si="1">ROW(A3)-1</f>
        <v>2</v>
      </c>
      <c r="B3" s="5" t="s">
        <v>71</v>
      </c>
      <c r="C3" s="5" t="s">
        <v>355</v>
      </c>
      <c r="D3" s="5">
        <f t="shared" ref="D3:D66" si="2">E3*20000</f>
        <v>60000</v>
      </c>
      <c r="E3" s="5">
        <v>3</v>
      </c>
      <c r="F3" s="5">
        <f t="shared" ref="F3:F66" si="3">G3*40000*2</f>
        <v>80000</v>
      </c>
      <c r="G3" s="5">
        <v>1</v>
      </c>
      <c r="H3" s="5">
        <f t="shared" ref="H3:H13" si="4">I3*50000</f>
        <v>0</v>
      </c>
      <c r="I3" s="5">
        <v>0</v>
      </c>
      <c r="J3" s="5">
        <f t="shared" ref="J3:J66" si="5">K3*20000</f>
        <v>20000</v>
      </c>
      <c r="K3" s="5">
        <v>1</v>
      </c>
      <c r="L3" s="6">
        <f t="shared" si="0"/>
        <v>40000</v>
      </c>
    </row>
    <row r="4" spans="1:12" x14ac:dyDescent="0.45">
      <c r="A4" s="10">
        <f t="shared" si="1"/>
        <v>3</v>
      </c>
      <c r="B4" s="5" t="s">
        <v>72</v>
      </c>
      <c r="C4" s="5" t="s">
        <v>355</v>
      </c>
      <c r="D4" s="5">
        <f t="shared" si="2"/>
        <v>20000</v>
      </c>
      <c r="E4" s="5">
        <v>1</v>
      </c>
      <c r="F4" s="5">
        <f t="shared" si="3"/>
        <v>80000</v>
      </c>
      <c r="G4" s="5">
        <v>1</v>
      </c>
      <c r="H4" s="5">
        <f t="shared" si="4"/>
        <v>0</v>
      </c>
      <c r="I4" s="5">
        <v>0</v>
      </c>
      <c r="J4" s="5">
        <f t="shared" si="5"/>
        <v>40000</v>
      </c>
      <c r="K4" s="5">
        <v>2</v>
      </c>
      <c r="L4" s="6">
        <f t="shared" si="0"/>
        <v>60000</v>
      </c>
    </row>
    <row r="5" spans="1:12" x14ac:dyDescent="0.45">
      <c r="A5" s="10">
        <f t="shared" si="1"/>
        <v>4</v>
      </c>
      <c r="B5" s="5" t="s">
        <v>73</v>
      </c>
      <c r="C5" s="5" t="s">
        <v>355</v>
      </c>
      <c r="D5" s="5">
        <f t="shared" si="2"/>
        <v>20000</v>
      </c>
      <c r="E5" s="5">
        <v>1</v>
      </c>
      <c r="F5" s="5">
        <f t="shared" si="3"/>
        <v>0</v>
      </c>
      <c r="G5" s="5">
        <v>0</v>
      </c>
      <c r="H5" s="5">
        <f t="shared" si="4"/>
        <v>0</v>
      </c>
      <c r="I5" s="5">
        <v>0</v>
      </c>
      <c r="J5" s="5">
        <f t="shared" si="5"/>
        <v>40000</v>
      </c>
      <c r="K5" s="5">
        <v>2</v>
      </c>
      <c r="L5" s="6">
        <f t="shared" si="0"/>
        <v>140000</v>
      </c>
    </row>
    <row r="6" spans="1:12" x14ac:dyDescent="0.45">
      <c r="A6" s="10">
        <f t="shared" si="1"/>
        <v>5</v>
      </c>
      <c r="B6" s="5" t="s">
        <v>74</v>
      </c>
      <c r="C6" s="5" t="s">
        <v>355</v>
      </c>
      <c r="D6" s="5">
        <f t="shared" si="2"/>
        <v>40000</v>
      </c>
      <c r="E6" s="5">
        <v>2</v>
      </c>
      <c r="F6" s="5">
        <f t="shared" si="3"/>
        <v>80000</v>
      </c>
      <c r="G6" s="5">
        <v>1</v>
      </c>
      <c r="H6" s="5">
        <f t="shared" si="4"/>
        <v>0</v>
      </c>
      <c r="I6" s="5">
        <v>0</v>
      </c>
      <c r="J6" s="5">
        <f t="shared" si="5"/>
        <v>20000</v>
      </c>
      <c r="K6" s="5">
        <v>1</v>
      </c>
      <c r="L6" s="6">
        <f t="shared" si="0"/>
        <v>60000</v>
      </c>
    </row>
    <row r="7" spans="1:12" x14ac:dyDescent="0.45">
      <c r="A7" s="10">
        <f t="shared" si="1"/>
        <v>6</v>
      </c>
      <c r="B7" s="5" t="s">
        <v>75</v>
      </c>
      <c r="C7" s="5" t="s">
        <v>355</v>
      </c>
      <c r="D7" s="5">
        <f t="shared" si="2"/>
        <v>0</v>
      </c>
      <c r="E7" s="5">
        <v>0</v>
      </c>
      <c r="F7" s="5">
        <f t="shared" si="3"/>
        <v>0</v>
      </c>
      <c r="G7" s="5">
        <v>0</v>
      </c>
      <c r="H7" s="5">
        <f t="shared" si="4"/>
        <v>0</v>
      </c>
      <c r="I7" s="5">
        <v>0</v>
      </c>
      <c r="J7" s="5">
        <f t="shared" si="5"/>
        <v>60000</v>
      </c>
      <c r="K7" s="5">
        <v>3</v>
      </c>
      <c r="L7" s="6">
        <f t="shared" si="0"/>
        <v>140000</v>
      </c>
    </row>
    <row r="8" spans="1:12" x14ac:dyDescent="0.45">
      <c r="A8" s="10">
        <f t="shared" si="1"/>
        <v>7</v>
      </c>
      <c r="B8" s="5" t="s">
        <v>76</v>
      </c>
      <c r="C8" s="5" t="s">
        <v>355</v>
      </c>
      <c r="D8" s="5">
        <f t="shared" si="2"/>
        <v>20000</v>
      </c>
      <c r="E8" s="5">
        <v>1</v>
      </c>
      <c r="F8" s="5">
        <f t="shared" si="3"/>
        <v>80000</v>
      </c>
      <c r="G8" s="5">
        <v>1</v>
      </c>
      <c r="H8" s="5">
        <f t="shared" si="4"/>
        <v>0</v>
      </c>
      <c r="I8" s="5">
        <v>0</v>
      </c>
      <c r="J8" s="5">
        <f t="shared" si="5"/>
        <v>40000</v>
      </c>
      <c r="K8" s="5">
        <v>2</v>
      </c>
      <c r="L8" s="6">
        <f t="shared" si="0"/>
        <v>60000</v>
      </c>
    </row>
    <row r="9" spans="1:12" x14ac:dyDescent="0.45">
      <c r="A9" s="10">
        <f t="shared" si="1"/>
        <v>8</v>
      </c>
      <c r="B9" s="5" t="s">
        <v>77</v>
      </c>
      <c r="C9" s="5" t="s">
        <v>355</v>
      </c>
      <c r="D9" s="5">
        <f t="shared" si="2"/>
        <v>20000</v>
      </c>
      <c r="E9" s="5">
        <v>1</v>
      </c>
      <c r="F9" s="5">
        <f t="shared" si="3"/>
        <v>0</v>
      </c>
      <c r="G9" s="5">
        <v>0</v>
      </c>
      <c r="H9" s="5">
        <f t="shared" si="4"/>
        <v>0</v>
      </c>
      <c r="I9" s="5">
        <v>0</v>
      </c>
      <c r="J9" s="5">
        <f t="shared" si="5"/>
        <v>20000</v>
      </c>
      <c r="K9" s="5">
        <v>1</v>
      </c>
      <c r="L9" s="6">
        <f t="shared" si="0"/>
        <v>160000</v>
      </c>
    </row>
    <row r="10" spans="1:12" x14ac:dyDescent="0.45">
      <c r="A10" s="10">
        <f t="shared" si="1"/>
        <v>9</v>
      </c>
      <c r="B10" s="5" t="s">
        <v>78</v>
      </c>
      <c r="C10" s="5" t="s">
        <v>355</v>
      </c>
      <c r="D10" s="5">
        <f t="shared" si="2"/>
        <v>20000</v>
      </c>
      <c r="E10" s="5">
        <v>1</v>
      </c>
      <c r="F10" s="5">
        <f t="shared" si="3"/>
        <v>80000</v>
      </c>
      <c r="G10" s="5">
        <v>1</v>
      </c>
      <c r="H10" s="5">
        <f t="shared" si="4"/>
        <v>0</v>
      </c>
      <c r="I10" s="5">
        <v>0</v>
      </c>
      <c r="J10" s="5">
        <f t="shared" si="5"/>
        <v>0</v>
      </c>
      <c r="K10" s="5">
        <v>0</v>
      </c>
      <c r="L10" s="6">
        <f t="shared" si="0"/>
        <v>100000</v>
      </c>
    </row>
    <row r="11" spans="1:12" x14ac:dyDescent="0.45">
      <c r="A11" s="10">
        <f t="shared" si="1"/>
        <v>10</v>
      </c>
      <c r="B11" s="5" t="s">
        <v>79</v>
      </c>
      <c r="C11" s="5" t="s">
        <v>355</v>
      </c>
      <c r="D11" s="5">
        <f t="shared" si="2"/>
        <v>20000</v>
      </c>
      <c r="E11" s="5">
        <v>1</v>
      </c>
      <c r="F11" s="5">
        <f t="shared" si="3"/>
        <v>0</v>
      </c>
      <c r="G11" s="5">
        <v>0</v>
      </c>
      <c r="H11" s="5">
        <f t="shared" si="4"/>
        <v>0</v>
      </c>
      <c r="I11" s="5">
        <v>0</v>
      </c>
      <c r="J11" s="5">
        <f t="shared" si="5"/>
        <v>20000</v>
      </c>
      <c r="K11" s="5">
        <v>1</v>
      </c>
      <c r="L11" s="6">
        <f t="shared" si="0"/>
        <v>160000</v>
      </c>
    </row>
    <row r="12" spans="1:12" x14ac:dyDescent="0.45">
      <c r="A12" s="10">
        <f t="shared" si="1"/>
        <v>11</v>
      </c>
      <c r="B12" s="5" t="s">
        <v>80</v>
      </c>
      <c r="C12" s="5" t="s">
        <v>355</v>
      </c>
      <c r="D12" s="5">
        <f t="shared" si="2"/>
        <v>40000</v>
      </c>
      <c r="E12" s="5">
        <v>2</v>
      </c>
      <c r="F12" s="5">
        <f t="shared" si="3"/>
        <v>160000</v>
      </c>
      <c r="G12" s="5">
        <v>2</v>
      </c>
      <c r="H12" s="5">
        <f t="shared" si="4"/>
        <v>0</v>
      </c>
      <c r="I12" s="5">
        <v>0</v>
      </c>
      <c r="J12" s="5">
        <f t="shared" si="5"/>
        <v>40000</v>
      </c>
      <c r="K12" s="5">
        <v>2</v>
      </c>
      <c r="L12" s="6">
        <f t="shared" si="0"/>
        <v>-40000</v>
      </c>
    </row>
    <row r="13" spans="1:12" x14ac:dyDescent="0.45">
      <c r="A13" s="10">
        <f t="shared" si="1"/>
        <v>12</v>
      </c>
      <c r="B13" s="5" t="s">
        <v>81</v>
      </c>
      <c r="C13" s="5" t="s">
        <v>355</v>
      </c>
      <c r="D13" s="5">
        <f t="shared" si="2"/>
        <v>0</v>
      </c>
      <c r="E13" s="5">
        <v>0</v>
      </c>
      <c r="F13" s="5">
        <f t="shared" si="3"/>
        <v>0</v>
      </c>
      <c r="G13" s="5">
        <v>0</v>
      </c>
      <c r="H13" s="5">
        <f t="shared" si="4"/>
        <v>0</v>
      </c>
      <c r="I13" s="5">
        <v>0</v>
      </c>
      <c r="J13" s="5">
        <f t="shared" si="5"/>
        <v>20000</v>
      </c>
      <c r="K13" s="5">
        <v>1</v>
      </c>
      <c r="L13" s="6">
        <f t="shared" si="0"/>
        <v>180000</v>
      </c>
    </row>
    <row r="14" spans="1:12" x14ac:dyDescent="0.45">
      <c r="A14" s="10">
        <f t="shared" si="1"/>
        <v>13</v>
      </c>
      <c r="B14" s="5" t="s">
        <v>82</v>
      </c>
      <c r="C14" s="5" t="s">
        <v>355</v>
      </c>
      <c r="D14" s="5">
        <f t="shared" si="2"/>
        <v>20000</v>
      </c>
      <c r="E14" s="5">
        <v>1</v>
      </c>
      <c r="F14" s="5">
        <f t="shared" si="3"/>
        <v>0</v>
      </c>
      <c r="G14" s="5">
        <v>0</v>
      </c>
      <c r="H14" s="5">
        <v>0</v>
      </c>
      <c r="I14" s="5">
        <v>0</v>
      </c>
      <c r="J14" s="5">
        <f t="shared" si="5"/>
        <v>20000</v>
      </c>
      <c r="K14" s="5">
        <v>1</v>
      </c>
      <c r="L14" s="6">
        <f t="shared" si="0"/>
        <v>160000</v>
      </c>
    </row>
    <row r="15" spans="1:12" x14ac:dyDescent="0.45">
      <c r="A15" s="10">
        <f t="shared" si="1"/>
        <v>14</v>
      </c>
      <c r="B15" s="5" t="s">
        <v>83</v>
      </c>
      <c r="C15" s="5" t="s">
        <v>355</v>
      </c>
      <c r="D15" s="5">
        <f t="shared" si="2"/>
        <v>40000</v>
      </c>
      <c r="E15" s="5">
        <v>2</v>
      </c>
      <c r="F15" s="5">
        <f t="shared" si="3"/>
        <v>160000</v>
      </c>
      <c r="G15" s="5">
        <v>2</v>
      </c>
      <c r="H15" s="5">
        <v>0</v>
      </c>
      <c r="I15" s="5">
        <v>0</v>
      </c>
      <c r="J15" s="5">
        <f t="shared" si="5"/>
        <v>60000</v>
      </c>
      <c r="K15" s="5">
        <v>3</v>
      </c>
      <c r="L15" s="6">
        <f t="shared" si="0"/>
        <v>-60000</v>
      </c>
    </row>
    <row r="16" spans="1:12" x14ac:dyDescent="0.45">
      <c r="A16" s="10">
        <f t="shared" si="1"/>
        <v>15</v>
      </c>
      <c r="B16" s="5" t="s">
        <v>84</v>
      </c>
      <c r="C16" s="5" t="s">
        <v>355</v>
      </c>
      <c r="D16" s="5">
        <f t="shared" si="2"/>
        <v>20000</v>
      </c>
      <c r="E16" s="5">
        <v>1</v>
      </c>
      <c r="F16" s="5">
        <f t="shared" si="3"/>
        <v>0</v>
      </c>
      <c r="G16" s="5">
        <v>0</v>
      </c>
      <c r="H16" s="5">
        <v>0</v>
      </c>
      <c r="I16" s="5">
        <v>0</v>
      </c>
      <c r="J16" s="5">
        <f t="shared" si="5"/>
        <v>20000</v>
      </c>
      <c r="K16" s="5">
        <v>1</v>
      </c>
      <c r="L16" s="6">
        <f t="shared" si="0"/>
        <v>160000</v>
      </c>
    </row>
    <row r="17" spans="1:12" x14ac:dyDescent="0.45">
      <c r="A17" s="10">
        <f t="shared" si="1"/>
        <v>16</v>
      </c>
      <c r="B17" s="5" t="s">
        <v>85</v>
      </c>
      <c r="C17" s="5" t="s">
        <v>355</v>
      </c>
      <c r="D17" s="5">
        <f t="shared" si="2"/>
        <v>20000</v>
      </c>
      <c r="E17" s="5">
        <v>1</v>
      </c>
      <c r="F17" s="5">
        <f t="shared" si="3"/>
        <v>0</v>
      </c>
      <c r="G17" s="5">
        <v>0</v>
      </c>
      <c r="H17" s="5">
        <v>0</v>
      </c>
      <c r="I17" s="5">
        <v>0</v>
      </c>
      <c r="J17" s="5">
        <f t="shared" si="5"/>
        <v>40000</v>
      </c>
      <c r="K17" s="5">
        <v>2</v>
      </c>
      <c r="L17" s="6">
        <f t="shared" si="0"/>
        <v>140000</v>
      </c>
    </row>
    <row r="18" spans="1:12" x14ac:dyDescent="0.45">
      <c r="A18" s="10">
        <f t="shared" si="1"/>
        <v>17</v>
      </c>
      <c r="B18" s="5" t="s">
        <v>86</v>
      </c>
      <c r="C18" s="5" t="s">
        <v>355</v>
      </c>
      <c r="D18" s="5">
        <f t="shared" si="2"/>
        <v>0</v>
      </c>
      <c r="E18" s="5">
        <v>0</v>
      </c>
      <c r="F18" s="5">
        <f t="shared" si="3"/>
        <v>0</v>
      </c>
      <c r="G18" s="5">
        <v>0</v>
      </c>
      <c r="H18" s="5">
        <v>0</v>
      </c>
      <c r="I18" s="5">
        <v>0</v>
      </c>
      <c r="J18" s="5">
        <f t="shared" si="5"/>
        <v>20000</v>
      </c>
      <c r="K18" s="5">
        <v>1</v>
      </c>
      <c r="L18" s="6">
        <f t="shared" si="0"/>
        <v>180000</v>
      </c>
    </row>
    <row r="19" spans="1:12" x14ac:dyDescent="0.45">
      <c r="A19" s="10">
        <f t="shared" si="1"/>
        <v>18</v>
      </c>
      <c r="B19" s="5" t="s">
        <v>87</v>
      </c>
      <c r="C19" s="5" t="s">
        <v>355</v>
      </c>
      <c r="D19" s="5">
        <f t="shared" si="2"/>
        <v>20000</v>
      </c>
      <c r="E19" s="5">
        <v>1</v>
      </c>
      <c r="F19" s="5">
        <f t="shared" si="3"/>
        <v>0</v>
      </c>
      <c r="G19" s="5">
        <v>0</v>
      </c>
      <c r="H19" s="5">
        <v>0</v>
      </c>
      <c r="I19" s="5">
        <v>0</v>
      </c>
      <c r="J19" s="5">
        <f t="shared" si="5"/>
        <v>40000</v>
      </c>
      <c r="K19" s="5">
        <v>2</v>
      </c>
      <c r="L19" s="6">
        <f t="shared" si="0"/>
        <v>140000</v>
      </c>
    </row>
    <row r="20" spans="1:12" x14ac:dyDescent="0.45">
      <c r="A20" s="10">
        <f t="shared" si="1"/>
        <v>19</v>
      </c>
      <c r="B20" s="5" t="s">
        <v>88</v>
      </c>
      <c r="C20" s="5" t="s">
        <v>355</v>
      </c>
      <c r="D20" s="5">
        <f t="shared" si="2"/>
        <v>0</v>
      </c>
      <c r="E20" s="5">
        <v>0</v>
      </c>
      <c r="F20" s="5">
        <f t="shared" si="3"/>
        <v>0</v>
      </c>
      <c r="G20" s="5">
        <v>0</v>
      </c>
      <c r="H20" s="5">
        <v>0</v>
      </c>
      <c r="I20" s="5">
        <v>0</v>
      </c>
      <c r="J20" s="5">
        <f t="shared" si="5"/>
        <v>20000</v>
      </c>
      <c r="K20" s="5">
        <v>1</v>
      </c>
      <c r="L20" s="6">
        <f t="shared" si="0"/>
        <v>180000</v>
      </c>
    </row>
    <row r="21" spans="1:12" x14ac:dyDescent="0.45">
      <c r="A21" s="10">
        <f t="shared" si="1"/>
        <v>20</v>
      </c>
      <c r="B21" s="5" t="s">
        <v>89</v>
      </c>
      <c r="C21" s="5" t="s">
        <v>355</v>
      </c>
      <c r="D21" s="5">
        <f t="shared" si="2"/>
        <v>20000</v>
      </c>
      <c r="E21" s="5">
        <v>1</v>
      </c>
      <c r="F21" s="5">
        <f t="shared" si="3"/>
        <v>0</v>
      </c>
      <c r="G21" s="5">
        <v>0</v>
      </c>
      <c r="H21" s="5">
        <v>0</v>
      </c>
      <c r="I21" s="5">
        <v>0</v>
      </c>
      <c r="J21" s="5">
        <f t="shared" si="5"/>
        <v>80000</v>
      </c>
      <c r="K21" s="5">
        <v>4</v>
      </c>
      <c r="L21" s="6">
        <f t="shared" si="0"/>
        <v>100000</v>
      </c>
    </row>
    <row r="22" spans="1:12" x14ac:dyDescent="0.45">
      <c r="A22" s="10">
        <f t="shared" si="1"/>
        <v>21</v>
      </c>
      <c r="B22" s="5" t="s">
        <v>90</v>
      </c>
      <c r="C22" s="5" t="s">
        <v>355</v>
      </c>
      <c r="D22" s="5">
        <f t="shared" si="2"/>
        <v>20000</v>
      </c>
      <c r="E22" s="5">
        <v>1</v>
      </c>
      <c r="F22" s="5">
        <f t="shared" si="3"/>
        <v>80000</v>
      </c>
      <c r="G22" s="5">
        <v>1</v>
      </c>
      <c r="H22" s="5">
        <v>0</v>
      </c>
      <c r="I22" s="5">
        <v>0</v>
      </c>
      <c r="J22" s="5">
        <f t="shared" si="5"/>
        <v>40000</v>
      </c>
      <c r="K22" s="5">
        <v>2</v>
      </c>
      <c r="L22" s="6">
        <f t="shared" si="0"/>
        <v>60000</v>
      </c>
    </row>
    <row r="23" spans="1:12" x14ac:dyDescent="0.45">
      <c r="A23" s="10">
        <f t="shared" si="1"/>
        <v>22</v>
      </c>
      <c r="B23" s="5" t="s">
        <v>91</v>
      </c>
      <c r="C23" s="5" t="s">
        <v>355</v>
      </c>
      <c r="D23" s="5">
        <f t="shared" si="2"/>
        <v>20000</v>
      </c>
      <c r="E23" s="5">
        <v>1</v>
      </c>
      <c r="F23" s="5">
        <f t="shared" si="3"/>
        <v>0</v>
      </c>
      <c r="G23" s="5">
        <v>0</v>
      </c>
      <c r="H23" s="5">
        <v>0</v>
      </c>
      <c r="I23" s="5">
        <v>0</v>
      </c>
      <c r="J23" s="5">
        <f t="shared" si="5"/>
        <v>20000</v>
      </c>
      <c r="K23" s="5">
        <v>1</v>
      </c>
      <c r="L23" s="6">
        <f t="shared" si="0"/>
        <v>160000</v>
      </c>
    </row>
    <row r="24" spans="1:12" x14ac:dyDescent="0.45">
      <c r="A24" s="10">
        <f t="shared" si="1"/>
        <v>23</v>
      </c>
      <c r="B24" s="5" t="s">
        <v>92</v>
      </c>
      <c r="C24" s="5" t="s">
        <v>355</v>
      </c>
      <c r="D24" s="5">
        <f t="shared" si="2"/>
        <v>0</v>
      </c>
      <c r="E24" s="5">
        <v>0</v>
      </c>
      <c r="F24" s="5">
        <f t="shared" si="3"/>
        <v>0</v>
      </c>
      <c r="G24" s="5">
        <v>0</v>
      </c>
      <c r="H24" s="5">
        <v>0</v>
      </c>
      <c r="I24" s="5">
        <v>0</v>
      </c>
      <c r="J24" s="5">
        <f t="shared" si="5"/>
        <v>20000</v>
      </c>
      <c r="K24" s="5">
        <v>1</v>
      </c>
      <c r="L24" s="6">
        <f t="shared" si="0"/>
        <v>180000</v>
      </c>
    </row>
    <row r="25" spans="1:12" x14ac:dyDescent="0.45">
      <c r="A25" s="10">
        <f t="shared" si="1"/>
        <v>24</v>
      </c>
      <c r="B25" s="5" t="s">
        <v>93</v>
      </c>
      <c r="C25" s="5" t="s">
        <v>355</v>
      </c>
      <c r="D25" s="5">
        <f t="shared" si="2"/>
        <v>20000</v>
      </c>
      <c r="E25" s="5">
        <v>1</v>
      </c>
      <c r="F25" s="5">
        <f t="shared" si="3"/>
        <v>0</v>
      </c>
      <c r="G25" s="5">
        <v>0</v>
      </c>
      <c r="H25" s="5">
        <v>0</v>
      </c>
      <c r="I25" s="5">
        <v>0</v>
      </c>
      <c r="J25" s="5">
        <f t="shared" si="5"/>
        <v>0</v>
      </c>
      <c r="K25" s="5">
        <v>0</v>
      </c>
      <c r="L25" s="6">
        <f t="shared" si="0"/>
        <v>180000</v>
      </c>
    </row>
    <row r="26" spans="1:12" x14ac:dyDescent="0.45">
      <c r="A26" s="10">
        <f t="shared" si="1"/>
        <v>25</v>
      </c>
      <c r="B26" s="5" t="s">
        <v>94</v>
      </c>
      <c r="C26" s="5" t="s">
        <v>355</v>
      </c>
      <c r="D26" s="5">
        <f t="shared" si="2"/>
        <v>20000</v>
      </c>
      <c r="E26" s="5">
        <v>1</v>
      </c>
      <c r="F26" s="5">
        <f t="shared" si="3"/>
        <v>80000</v>
      </c>
      <c r="G26" s="5">
        <v>1</v>
      </c>
      <c r="H26" s="5">
        <v>0</v>
      </c>
      <c r="I26" s="5">
        <v>0</v>
      </c>
      <c r="J26" s="5">
        <f t="shared" si="5"/>
        <v>20000</v>
      </c>
      <c r="K26" s="5">
        <v>1</v>
      </c>
      <c r="L26" s="6">
        <f t="shared" si="0"/>
        <v>80000</v>
      </c>
    </row>
    <row r="27" spans="1:12" x14ac:dyDescent="0.45">
      <c r="A27" s="10">
        <f t="shared" si="1"/>
        <v>26</v>
      </c>
      <c r="B27" s="5" t="s">
        <v>95</v>
      </c>
      <c r="C27" s="5" t="s">
        <v>355</v>
      </c>
      <c r="D27" s="5">
        <f t="shared" si="2"/>
        <v>20000</v>
      </c>
      <c r="E27" s="5">
        <v>1</v>
      </c>
      <c r="F27" s="5">
        <f t="shared" si="3"/>
        <v>0</v>
      </c>
      <c r="G27" s="5">
        <v>0</v>
      </c>
      <c r="H27" s="5">
        <v>0</v>
      </c>
      <c r="I27" s="5">
        <v>0</v>
      </c>
      <c r="J27" s="5">
        <f t="shared" si="5"/>
        <v>0</v>
      </c>
      <c r="K27" s="5">
        <v>0</v>
      </c>
      <c r="L27" s="6">
        <f t="shared" si="0"/>
        <v>180000</v>
      </c>
    </row>
    <row r="28" spans="1:12" x14ac:dyDescent="0.45">
      <c r="A28" s="10">
        <f t="shared" si="1"/>
        <v>27</v>
      </c>
      <c r="B28" s="5" t="s">
        <v>96</v>
      </c>
      <c r="C28" s="5" t="s">
        <v>355</v>
      </c>
      <c r="D28" s="5">
        <f t="shared" si="2"/>
        <v>20000</v>
      </c>
      <c r="E28" s="5">
        <v>1</v>
      </c>
      <c r="F28" s="5">
        <f t="shared" si="3"/>
        <v>80000</v>
      </c>
      <c r="G28" s="5">
        <v>1</v>
      </c>
      <c r="H28" s="5">
        <v>0</v>
      </c>
      <c r="I28" s="5">
        <v>0</v>
      </c>
      <c r="J28" s="5">
        <f t="shared" si="5"/>
        <v>20000</v>
      </c>
      <c r="K28" s="5">
        <v>1</v>
      </c>
      <c r="L28" s="6">
        <f t="shared" si="0"/>
        <v>80000</v>
      </c>
    </row>
    <row r="29" spans="1:12" x14ac:dyDescent="0.45">
      <c r="A29" s="10">
        <f t="shared" si="1"/>
        <v>28</v>
      </c>
      <c r="B29" s="5" t="s">
        <v>97</v>
      </c>
      <c r="C29" s="5" t="s">
        <v>355</v>
      </c>
      <c r="D29" s="5">
        <f t="shared" si="2"/>
        <v>60000</v>
      </c>
      <c r="E29" s="5">
        <v>3</v>
      </c>
      <c r="F29" s="5">
        <f t="shared" si="3"/>
        <v>80000</v>
      </c>
      <c r="G29" s="5">
        <v>1</v>
      </c>
      <c r="H29" s="5">
        <v>0</v>
      </c>
      <c r="I29" s="5">
        <v>0</v>
      </c>
      <c r="J29" s="5">
        <f t="shared" si="5"/>
        <v>20000</v>
      </c>
      <c r="K29" s="5">
        <v>1</v>
      </c>
      <c r="L29" s="6">
        <f t="shared" si="0"/>
        <v>40000</v>
      </c>
    </row>
    <row r="30" spans="1:12" x14ac:dyDescent="0.45">
      <c r="A30" s="10">
        <f t="shared" si="1"/>
        <v>29</v>
      </c>
      <c r="B30" s="5" t="s">
        <v>98</v>
      </c>
      <c r="C30" s="5" t="s">
        <v>22</v>
      </c>
      <c r="D30" s="5">
        <f t="shared" si="2"/>
        <v>20000</v>
      </c>
      <c r="E30" s="5">
        <v>1</v>
      </c>
      <c r="F30" s="5">
        <f t="shared" si="3"/>
        <v>0</v>
      </c>
      <c r="G30" s="5">
        <v>0</v>
      </c>
      <c r="H30" s="5">
        <v>0</v>
      </c>
      <c r="I30" s="5">
        <v>0</v>
      </c>
      <c r="J30" s="5">
        <f t="shared" si="5"/>
        <v>20000</v>
      </c>
      <c r="K30" s="5">
        <v>1</v>
      </c>
      <c r="L30" s="6">
        <f t="shared" si="0"/>
        <v>160000</v>
      </c>
    </row>
    <row r="31" spans="1:12" x14ac:dyDescent="0.45">
      <c r="A31" s="10">
        <f t="shared" si="1"/>
        <v>30</v>
      </c>
      <c r="B31" s="5" t="s">
        <v>99</v>
      </c>
      <c r="C31" s="5" t="s">
        <v>22</v>
      </c>
      <c r="D31" s="5">
        <f t="shared" si="2"/>
        <v>0</v>
      </c>
      <c r="E31" s="5">
        <v>0</v>
      </c>
      <c r="F31" s="5">
        <f t="shared" si="3"/>
        <v>160000</v>
      </c>
      <c r="G31" s="5">
        <v>2</v>
      </c>
      <c r="H31" s="5">
        <v>0</v>
      </c>
      <c r="I31" s="5">
        <v>0</v>
      </c>
      <c r="J31" s="5">
        <f t="shared" si="5"/>
        <v>60000</v>
      </c>
      <c r="K31" s="5">
        <v>3</v>
      </c>
      <c r="L31" s="6">
        <f t="shared" si="0"/>
        <v>-20000</v>
      </c>
    </row>
    <row r="32" spans="1:12" x14ac:dyDescent="0.45">
      <c r="A32" s="10">
        <f t="shared" si="1"/>
        <v>31</v>
      </c>
      <c r="B32" s="5" t="s">
        <v>100</v>
      </c>
      <c r="C32" s="5" t="s">
        <v>22</v>
      </c>
      <c r="D32" s="5">
        <f t="shared" si="2"/>
        <v>0</v>
      </c>
      <c r="E32" s="5">
        <v>0</v>
      </c>
      <c r="F32" s="5">
        <f t="shared" si="3"/>
        <v>80000</v>
      </c>
      <c r="G32" s="5">
        <v>1</v>
      </c>
      <c r="H32" s="5">
        <v>0</v>
      </c>
      <c r="I32" s="5">
        <v>0</v>
      </c>
      <c r="J32" s="5">
        <f t="shared" si="5"/>
        <v>40000</v>
      </c>
      <c r="K32" s="5">
        <v>2</v>
      </c>
      <c r="L32" s="6">
        <f t="shared" si="0"/>
        <v>80000</v>
      </c>
    </row>
    <row r="33" spans="1:12" x14ac:dyDescent="0.45">
      <c r="A33" s="10">
        <f t="shared" si="1"/>
        <v>32</v>
      </c>
      <c r="B33" s="5" t="s">
        <v>101</v>
      </c>
      <c r="C33" s="5" t="s">
        <v>22</v>
      </c>
      <c r="D33" s="5">
        <f t="shared" si="2"/>
        <v>20000</v>
      </c>
      <c r="E33" s="5">
        <v>1</v>
      </c>
      <c r="F33" s="5">
        <f t="shared" si="3"/>
        <v>0</v>
      </c>
      <c r="G33" s="5">
        <v>0</v>
      </c>
      <c r="H33" s="5">
        <v>0</v>
      </c>
      <c r="I33" s="5">
        <v>0</v>
      </c>
      <c r="J33" s="5">
        <f t="shared" si="5"/>
        <v>20000</v>
      </c>
      <c r="K33" s="5">
        <v>1</v>
      </c>
      <c r="L33" s="6">
        <f t="shared" si="0"/>
        <v>160000</v>
      </c>
    </row>
    <row r="34" spans="1:12" x14ac:dyDescent="0.45">
      <c r="A34" s="10">
        <f t="shared" si="1"/>
        <v>33</v>
      </c>
      <c r="B34" s="5" t="s">
        <v>102</v>
      </c>
      <c r="C34" s="5" t="s">
        <v>22</v>
      </c>
      <c r="D34" s="5">
        <f t="shared" si="2"/>
        <v>0</v>
      </c>
      <c r="E34" s="5">
        <v>0</v>
      </c>
      <c r="F34" s="5">
        <f t="shared" si="3"/>
        <v>240000</v>
      </c>
      <c r="G34" s="5">
        <v>3</v>
      </c>
      <c r="H34" s="5">
        <v>0</v>
      </c>
      <c r="I34" s="5">
        <v>0</v>
      </c>
      <c r="J34" s="5">
        <f t="shared" si="5"/>
        <v>60000</v>
      </c>
      <c r="K34" s="5">
        <v>3</v>
      </c>
      <c r="L34" s="6">
        <f t="shared" ref="L34:L65" si="6">200000-H34-F34-D34-J34</f>
        <v>-100000</v>
      </c>
    </row>
    <row r="35" spans="1:12" x14ac:dyDescent="0.45">
      <c r="A35" s="10">
        <f t="shared" si="1"/>
        <v>34</v>
      </c>
      <c r="B35" s="5" t="s">
        <v>103</v>
      </c>
      <c r="C35" s="5" t="s">
        <v>22</v>
      </c>
      <c r="D35" s="5">
        <f t="shared" si="2"/>
        <v>20000</v>
      </c>
      <c r="E35" s="5">
        <v>1</v>
      </c>
      <c r="F35" s="5">
        <f t="shared" si="3"/>
        <v>0</v>
      </c>
      <c r="G35" s="5">
        <v>0</v>
      </c>
      <c r="H35" s="5">
        <v>0</v>
      </c>
      <c r="I35" s="5">
        <v>0</v>
      </c>
      <c r="J35" s="5">
        <f t="shared" si="5"/>
        <v>40000</v>
      </c>
      <c r="K35" s="5">
        <v>2</v>
      </c>
      <c r="L35" s="6">
        <f t="shared" si="6"/>
        <v>140000</v>
      </c>
    </row>
    <row r="36" spans="1:12" x14ac:dyDescent="0.45">
      <c r="A36" s="10">
        <f t="shared" si="1"/>
        <v>35</v>
      </c>
      <c r="B36" s="5" t="s">
        <v>104</v>
      </c>
      <c r="C36" s="5" t="s">
        <v>22</v>
      </c>
      <c r="D36" s="5">
        <f t="shared" si="2"/>
        <v>40000</v>
      </c>
      <c r="E36" s="5">
        <v>2</v>
      </c>
      <c r="F36" s="5">
        <f t="shared" si="3"/>
        <v>80000</v>
      </c>
      <c r="G36" s="5">
        <v>1</v>
      </c>
      <c r="H36" s="5">
        <v>0</v>
      </c>
      <c r="I36" s="5">
        <v>0</v>
      </c>
      <c r="J36" s="5">
        <f t="shared" si="5"/>
        <v>20000</v>
      </c>
      <c r="K36" s="5">
        <v>1</v>
      </c>
      <c r="L36" s="6">
        <f t="shared" si="6"/>
        <v>60000</v>
      </c>
    </row>
    <row r="37" spans="1:12" x14ac:dyDescent="0.45">
      <c r="A37" s="10">
        <f t="shared" si="1"/>
        <v>36</v>
      </c>
      <c r="B37" s="5" t="s">
        <v>105</v>
      </c>
      <c r="C37" s="5" t="s">
        <v>22</v>
      </c>
      <c r="D37" s="5">
        <f t="shared" si="2"/>
        <v>0</v>
      </c>
      <c r="E37" s="5">
        <v>0</v>
      </c>
      <c r="F37" s="5">
        <f t="shared" si="3"/>
        <v>0</v>
      </c>
      <c r="G37" s="5">
        <v>0</v>
      </c>
      <c r="H37" s="5">
        <v>0</v>
      </c>
      <c r="I37" s="5">
        <v>0</v>
      </c>
      <c r="J37" s="5">
        <f t="shared" si="5"/>
        <v>20000</v>
      </c>
      <c r="K37" s="5">
        <v>1</v>
      </c>
      <c r="L37" s="6">
        <f t="shared" si="6"/>
        <v>180000</v>
      </c>
    </row>
    <row r="38" spans="1:12" x14ac:dyDescent="0.45">
      <c r="A38" s="10">
        <f t="shared" si="1"/>
        <v>37</v>
      </c>
      <c r="B38" s="5" t="s">
        <v>106</v>
      </c>
      <c r="C38" s="5" t="s">
        <v>22</v>
      </c>
      <c r="D38" s="5">
        <f t="shared" si="2"/>
        <v>0</v>
      </c>
      <c r="E38" s="5">
        <v>0</v>
      </c>
      <c r="F38" s="5">
        <f t="shared" si="3"/>
        <v>0</v>
      </c>
      <c r="G38" s="5">
        <v>0</v>
      </c>
      <c r="H38" s="5">
        <v>0</v>
      </c>
      <c r="I38" s="5">
        <v>0</v>
      </c>
      <c r="J38" s="5">
        <f t="shared" si="5"/>
        <v>20000</v>
      </c>
      <c r="K38" s="5">
        <v>1</v>
      </c>
      <c r="L38" s="6">
        <f t="shared" si="6"/>
        <v>180000</v>
      </c>
    </row>
    <row r="39" spans="1:12" x14ac:dyDescent="0.45">
      <c r="A39" s="10">
        <f t="shared" si="1"/>
        <v>38</v>
      </c>
      <c r="B39" s="5" t="s">
        <v>107</v>
      </c>
      <c r="C39" s="5" t="s">
        <v>22</v>
      </c>
      <c r="D39" s="5">
        <f t="shared" si="2"/>
        <v>0</v>
      </c>
      <c r="E39" s="5">
        <v>0</v>
      </c>
      <c r="F39" s="5">
        <f t="shared" si="3"/>
        <v>0</v>
      </c>
      <c r="G39" s="5">
        <v>0</v>
      </c>
      <c r="H39" s="5">
        <v>0</v>
      </c>
      <c r="I39" s="5">
        <v>0</v>
      </c>
      <c r="J39" s="5">
        <f t="shared" si="5"/>
        <v>20000</v>
      </c>
      <c r="K39" s="5">
        <v>1</v>
      </c>
      <c r="L39" s="6">
        <f t="shared" si="6"/>
        <v>180000</v>
      </c>
    </row>
    <row r="40" spans="1:12" x14ac:dyDescent="0.45">
      <c r="A40" s="10">
        <f t="shared" si="1"/>
        <v>39</v>
      </c>
      <c r="B40" s="5" t="s">
        <v>108</v>
      </c>
      <c r="C40" s="5" t="s">
        <v>22</v>
      </c>
      <c r="D40" s="5">
        <f t="shared" si="2"/>
        <v>0</v>
      </c>
      <c r="E40" s="5">
        <v>0</v>
      </c>
      <c r="F40" s="5">
        <f t="shared" si="3"/>
        <v>0</v>
      </c>
      <c r="G40" s="5">
        <v>0</v>
      </c>
      <c r="H40" s="5">
        <v>0</v>
      </c>
      <c r="I40" s="5">
        <v>0</v>
      </c>
      <c r="J40" s="5">
        <f t="shared" si="5"/>
        <v>20000</v>
      </c>
      <c r="K40" s="5">
        <v>1</v>
      </c>
      <c r="L40" s="6">
        <f t="shared" si="6"/>
        <v>180000</v>
      </c>
    </row>
    <row r="41" spans="1:12" x14ac:dyDescent="0.45">
      <c r="A41" s="10">
        <f t="shared" si="1"/>
        <v>40</v>
      </c>
      <c r="B41" s="5" t="s">
        <v>109</v>
      </c>
      <c r="C41" s="5" t="s">
        <v>22</v>
      </c>
      <c r="D41" s="5">
        <f t="shared" si="2"/>
        <v>0</v>
      </c>
      <c r="E41" s="5">
        <v>0</v>
      </c>
      <c r="F41" s="5">
        <f t="shared" si="3"/>
        <v>0</v>
      </c>
      <c r="G41" s="5">
        <v>0</v>
      </c>
      <c r="H41" s="5">
        <v>0</v>
      </c>
      <c r="I41" s="5">
        <v>0</v>
      </c>
      <c r="J41" s="5">
        <f t="shared" si="5"/>
        <v>20000</v>
      </c>
      <c r="K41" s="5">
        <v>1</v>
      </c>
      <c r="L41" s="6">
        <f t="shared" si="6"/>
        <v>180000</v>
      </c>
    </row>
    <row r="42" spans="1:12" x14ac:dyDescent="0.45">
      <c r="A42" s="10">
        <f t="shared" si="1"/>
        <v>41</v>
      </c>
      <c r="B42" s="5" t="s">
        <v>110</v>
      </c>
      <c r="C42" s="5" t="s">
        <v>22</v>
      </c>
      <c r="D42" s="5">
        <f t="shared" si="2"/>
        <v>0</v>
      </c>
      <c r="E42" s="5">
        <v>0</v>
      </c>
      <c r="F42" s="5">
        <f t="shared" si="3"/>
        <v>0</v>
      </c>
      <c r="G42" s="5">
        <v>0</v>
      </c>
      <c r="H42" s="5">
        <v>0</v>
      </c>
      <c r="I42" s="5">
        <v>0</v>
      </c>
      <c r="J42" s="5">
        <f t="shared" si="5"/>
        <v>0</v>
      </c>
      <c r="K42" s="5">
        <v>0</v>
      </c>
      <c r="L42" s="6">
        <f t="shared" si="6"/>
        <v>200000</v>
      </c>
    </row>
    <row r="43" spans="1:12" x14ac:dyDescent="0.45">
      <c r="A43" s="10">
        <f t="shared" si="1"/>
        <v>42</v>
      </c>
      <c r="B43" s="5" t="s">
        <v>111</v>
      </c>
      <c r="C43" s="5" t="s">
        <v>22</v>
      </c>
      <c r="D43" s="5">
        <f t="shared" si="2"/>
        <v>0</v>
      </c>
      <c r="E43" s="5">
        <v>0</v>
      </c>
      <c r="F43" s="5">
        <f t="shared" si="3"/>
        <v>160000</v>
      </c>
      <c r="G43" s="5">
        <v>2</v>
      </c>
      <c r="H43" s="5">
        <v>0</v>
      </c>
      <c r="I43" s="5">
        <v>0</v>
      </c>
      <c r="J43" s="5">
        <f t="shared" si="5"/>
        <v>0</v>
      </c>
      <c r="K43" s="5">
        <v>0</v>
      </c>
      <c r="L43" s="6">
        <f t="shared" si="6"/>
        <v>40000</v>
      </c>
    </row>
    <row r="44" spans="1:12" x14ac:dyDescent="0.45">
      <c r="A44" s="10">
        <f t="shared" si="1"/>
        <v>43</v>
      </c>
      <c r="B44" s="5" t="s">
        <v>112</v>
      </c>
      <c r="C44" s="5" t="s">
        <v>22</v>
      </c>
      <c r="D44" s="5">
        <f t="shared" si="2"/>
        <v>0</v>
      </c>
      <c r="E44" s="5">
        <v>0</v>
      </c>
      <c r="F44" s="5">
        <f t="shared" si="3"/>
        <v>0</v>
      </c>
      <c r="G44" s="5">
        <v>0</v>
      </c>
      <c r="H44" s="5">
        <v>0</v>
      </c>
      <c r="I44" s="5">
        <v>0</v>
      </c>
      <c r="J44" s="5">
        <f t="shared" si="5"/>
        <v>0</v>
      </c>
      <c r="K44" s="5">
        <v>0</v>
      </c>
      <c r="L44" s="6">
        <f t="shared" si="6"/>
        <v>200000</v>
      </c>
    </row>
    <row r="45" spans="1:12" x14ac:dyDescent="0.45">
      <c r="A45" s="10">
        <f t="shared" si="1"/>
        <v>44</v>
      </c>
      <c r="B45" s="5" t="s">
        <v>113</v>
      </c>
      <c r="C45" s="5" t="s">
        <v>22</v>
      </c>
      <c r="D45" s="5">
        <f t="shared" si="2"/>
        <v>0</v>
      </c>
      <c r="E45" s="5">
        <v>0</v>
      </c>
      <c r="F45" s="5">
        <f t="shared" si="3"/>
        <v>0</v>
      </c>
      <c r="G45" s="5">
        <v>0</v>
      </c>
      <c r="H45" s="5">
        <v>0</v>
      </c>
      <c r="I45" s="5">
        <v>0</v>
      </c>
      <c r="J45" s="5">
        <f t="shared" si="5"/>
        <v>0</v>
      </c>
      <c r="K45" s="5">
        <v>0</v>
      </c>
      <c r="L45" s="6">
        <f t="shared" si="6"/>
        <v>200000</v>
      </c>
    </row>
    <row r="46" spans="1:12" x14ac:dyDescent="0.45">
      <c r="A46" s="10">
        <f t="shared" si="1"/>
        <v>45</v>
      </c>
      <c r="B46" s="5" t="s">
        <v>114</v>
      </c>
      <c r="C46" s="5" t="s">
        <v>22</v>
      </c>
      <c r="D46" s="5">
        <f t="shared" si="2"/>
        <v>0</v>
      </c>
      <c r="E46" s="5">
        <v>0</v>
      </c>
      <c r="F46" s="5">
        <f t="shared" si="3"/>
        <v>0</v>
      </c>
      <c r="G46" s="5">
        <v>0</v>
      </c>
      <c r="H46" s="5">
        <v>0</v>
      </c>
      <c r="I46" s="5">
        <v>0</v>
      </c>
      <c r="J46" s="5">
        <f t="shared" si="5"/>
        <v>20000</v>
      </c>
      <c r="K46" s="5">
        <v>1</v>
      </c>
      <c r="L46" s="6">
        <f t="shared" si="6"/>
        <v>180000</v>
      </c>
    </row>
    <row r="47" spans="1:12" x14ac:dyDescent="0.45">
      <c r="A47" s="10">
        <f t="shared" si="1"/>
        <v>46</v>
      </c>
      <c r="B47" s="5" t="s">
        <v>115</v>
      </c>
      <c r="C47" s="5" t="s">
        <v>22</v>
      </c>
      <c r="D47" s="5">
        <f t="shared" si="2"/>
        <v>0</v>
      </c>
      <c r="E47" s="5">
        <v>0</v>
      </c>
      <c r="F47" s="5">
        <f t="shared" si="3"/>
        <v>0</v>
      </c>
      <c r="G47" s="5">
        <v>0</v>
      </c>
      <c r="H47" s="5">
        <v>0</v>
      </c>
      <c r="I47" s="5">
        <v>0</v>
      </c>
      <c r="J47" s="5">
        <f t="shared" si="5"/>
        <v>0</v>
      </c>
      <c r="K47" s="5">
        <v>0</v>
      </c>
      <c r="L47" s="6">
        <f t="shared" si="6"/>
        <v>200000</v>
      </c>
    </row>
    <row r="48" spans="1:12" x14ac:dyDescent="0.45">
      <c r="A48" s="10">
        <f t="shared" si="1"/>
        <v>47</v>
      </c>
      <c r="B48" s="5" t="s">
        <v>116</v>
      </c>
      <c r="C48" s="5" t="s">
        <v>22</v>
      </c>
      <c r="D48" s="5">
        <f t="shared" si="2"/>
        <v>0</v>
      </c>
      <c r="E48" s="5">
        <v>0</v>
      </c>
      <c r="F48" s="5">
        <f t="shared" si="3"/>
        <v>0</v>
      </c>
      <c r="G48" s="5">
        <v>0</v>
      </c>
      <c r="H48" s="5">
        <v>0</v>
      </c>
      <c r="I48" s="5">
        <v>0</v>
      </c>
      <c r="J48" s="5">
        <f t="shared" si="5"/>
        <v>20000</v>
      </c>
      <c r="K48" s="5">
        <v>1</v>
      </c>
      <c r="L48" s="6">
        <f t="shared" si="6"/>
        <v>180000</v>
      </c>
    </row>
    <row r="49" spans="1:12" x14ac:dyDescent="0.45">
      <c r="A49" s="10">
        <f t="shared" si="1"/>
        <v>48</v>
      </c>
      <c r="B49" s="5" t="s">
        <v>117</v>
      </c>
      <c r="C49" s="5" t="s">
        <v>22</v>
      </c>
      <c r="D49" s="5">
        <f t="shared" si="2"/>
        <v>0</v>
      </c>
      <c r="E49" s="5">
        <v>0</v>
      </c>
      <c r="F49" s="5">
        <f t="shared" si="3"/>
        <v>80000</v>
      </c>
      <c r="G49" s="5">
        <v>1</v>
      </c>
      <c r="H49" s="5">
        <v>0</v>
      </c>
      <c r="I49" s="5">
        <v>0</v>
      </c>
      <c r="J49" s="5">
        <f t="shared" si="5"/>
        <v>20000</v>
      </c>
      <c r="K49" s="5">
        <v>1</v>
      </c>
      <c r="L49" s="6">
        <f t="shared" si="6"/>
        <v>100000</v>
      </c>
    </row>
    <row r="50" spans="1:12" x14ac:dyDescent="0.45">
      <c r="A50" s="10">
        <f t="shared" si="1"/>
        <v>49</v>
      </c>
      <c r="B50" s="5" t="s">
        <v>118</v>
      </c>
      <c r="C50" s="5" t="s">
        <v>22</v>
      </c>
      <c r="D50" s="5">
        <f t="shared" si="2"/>
        <v>20000</v>
      </c>
      <c r="E50" s="5">
        <v>1</v>
      </c>
      <c r="F50" s="5">
        <f t="shared" si="3"/>
        <v>0</v>
      </c>
      <c r="G50" s="5">
        <v>0</v>
      </c>
      <c r="H50" s="5">
        <v>0</v>
      </c>
      <c r="I50" s="5">
        <v>0</v>
      </c>
      <c r="J50" s="5">
        <f t="shared" si="5"/>
        <v>20000</v>
      </c>
      <c r="K50" s="5">
        <v>1</v>
      </c>
      <c r="L50" s="6">
        <f t="shared" si="6"/>
        <v>160000</v>
      </c>
    </row>
    <row r="51" spans="1:12" x14ac:dyDescent="0.45">
      <c r="A51" s="10">
        <f t="shared" si="1"/>
        <v>50</v>
      </c>
      <c r="B51" s="5" t="s">
        <v>119</v>
      </c>
      <c r="C51" s="5" t="s">
        <v>22</v>
      </c>
      <c r="D51" s="5">
        <f t="shared" si="2"/>
        <v>0</v>
      </c>
      <c r="E51" s="5">
        <v>0</v>
      </c>
      <c r="F51" s="5">
        <f t="shared" si="3"/>
        <v>0</v>
      </c>
      <c r="G51" s="5">
        <v>0</v>
      </c>
      <c r="H51" s="5">
        <v>0</v>
      </c>
      <c r="I51" s="5">
        <v>0</v>
      </c>
      <c r="J51" s="5">
        <f t="shared" si="5"/>
        <v>0</v>
      </c>
      <c r="K51" s="5">
        <v>0</v>
      </c>
      <c r="L51" s="6">
        <f t="shared" si="6"/>
        <v>200000</v>
      </c>
    </row>
    <row r="52" spans="1:12" x14ac:dyDescent="0.45">
      <c r="A52" s="10">
        <f t="shared" si="1"/>
        <v>51</v>
      </c>
      <c r="B52" s="5" t="s">
        <v>120</v>
      </c>
      <c r="C52" s="5" t="s">
        <v>22</v>
      </c>
      <c r="D52" s="5">
        <f t="shared" si="2"/>
        <v>0</v>
      </c>
      <c r="E52" s="5">
        <v>0</v>
      </c>
      <c r="F52" s="5">
        <f t="shared" si="3"/>
        <v>80000</v>
      </c>
      <c r="G52" s="5">
        <v>1</v>
      </c>
      <c r="H52" s="5">
        <v>0</v>
      </c>
      <c r="I52" s="5">
        <v>0</v>
      </c>
      <c r="J52" s="5">
        <f t="shared" si="5"/>
        <v>20000</v>
      </c>
      <c r="K52" s="5">
        <v>1</v>
      </c>
      <c r="L52" s="6">
        <f t="shared" si="6"/>
        <v>100000</v>
      </c>
    </row>
    <row r="53" spans="1:12" x14ac:dyDescent="0.45">
      <c r="A53" s="10">
        <f t="shared" si="1"/>
        <v>52</v>
      </c>
      <c r="B53" s="5" t="s">
        <v>121</v>
      </c>
      <c r="C53" s="5" t="s">
        <v>22</v>
      </c>
      <c r="D53" s="5">
        <f t="shared" si="2"/>
        <v>0</v>
      </c>
      <c r="E53" s="5">
        <v>0</v>
      </c>
      <c r="F53" s="5">
        <f t="shared" si="3"/>
        <v>0</v>
      </c>
      <c r="G53" s="5">
        <v>0</v>
      </c>
      <c r="H53" s="5">
        <v>0</v>
      </c>
      <c r="I53" s="5">
        <v>0</v>
      </c>
      <c r="J53" s="5">
        <f t="shared" si="5"/>
        <v>20000</v>
      </c>
      <c r="K53" s="5">
        <v>1</v>
      </c>
      <c r="L53" s="6">
        <f t="shared" si="6"/>
        <v>180000</v>
      </c>
    </row>
    <row r="54" spans="1:12" x14ac:dyDescent="0.45">
      <c r="A54" s="10">
        <f t="shared" si="1"/>
        <v>53</v>
      </c>
      <c r="B54" s="5" t="s">
        <v>122</v>
      </c>
      <c r="C54" s="5" t="s">
        <v>22</v>
      </c>
      <c r="D54" s="5">
        <f t="shared" si="2"/>
        <v>0</v>
      </c>
      <c r="E54" s="5">
        <v>0</v>
      </c>
      <c r="F54" s="5">
        <f t="shared" si="3"/>
        <v>0</v>
      </c>
      <c r="G54" s="5">
        <v>0</v>
      </c>
      <c r="H54" s="5">
        <v>0</v>
      </c>
      <c r="I54" s="5">
        <v>0</v>
      </c>
      <c r="J54" s="5">
        <f t="shared" si="5"/>
        <v>0</v>
      </c>
      <c r="K54" s="5">
        <v>0</v>
      </c>
      <c r="L54" s="6">
        <f t="shared" si="6"/>
        <v>200000</v>
      </c>
    </row>
    <row r="55" spans="1:12" x14ac:dyDescent="0.45">
      <c r="A55" s="10">
        <f t="shared" si="1"/>
        <v>54</v>
      </c>
      <c r="B55" s="5" t="s">
        <v>123</v>
      </c>
      <c r="C55" s="5" t="s">
        <v>22</v>
      </c>
      <c r="D55" s="5">
        <f t="shared" si="2"/>
        <v>0</v>
      </c>
      <c r="E55" s="5">
        <v>0</v>
      </c>
      <c r="F55" s="5">
        <f t="shared" si="3"/>
        <v>80000</v>
      </c>
      <c r="G55" s="5">
        <v>1</v>
      </c>
      <c r="H55" s="5">
        <v>0</v>
      </c>
      <c r="I55" s="5">
        <v>0</v>
      </c>
      <c r="J55" s="5">
        <f t="shared" si="5"/>
        <v>20000</v>
      </c>
      <c r="K55" s="5">
        <v>1</v>
      </c>
      <c r="L55" s="6">
        <f t="shared" si="6"/>
        <v>100000</v>
      </c>
    </row>
    <row r="56" spans="1:12" x14ac:dyDescent="0.45">
      <c r="A56" s="10">
        <f t="shared" si="1"/>
        <v>55</v>
      </c>
      <c r="B56" s="5" t="s">
        <v>124</v>
      </c>
      <c r="C56" s="5" t="s">
        <v>22</v>
      </c>
      <c r="D56" s="5">
        <f t="shared" si="2"/>
        <v>0</v>
      </c>
      <c r="E56" s="5">
        <v>0</v>
      </c>
      <c r="F56" s="5">
        <f t="shared" si="3"/>
        <v>0</v>
      </c>
      <c r="G56" s="5">
        <v>0</v>
      </c>
      <c r="H56" s="5">
        <v>0</v>
      </c>
      <c r="I56" s="5">
        <v>0</v>
      </c>
      <c r="J56" s="5">
        <f t="shared" si="5"/>
        <v>40000</v>
      </c>
      <c r="K56" s="5">
        <v>2</v>
      </c>
      <c r="L56" s="6">
        <f t="shared" si="6"/>
        <v>160000</v>
      </c>
    </row>
    <row r="57" spans="1:12" x14ac:dyDescent="0.45">
      <c r="A57" s="10">
        <f t="shared" si="1"/>
        <v>56</v>
      </c>
      <c r="B57" s="5" t="s">
        <v>125</v>
      </c>
      <c r="C57" s="5" t="s">
        <v>22</v>
      </c>
      <c r="D57" s="5">
        <f t="shared" si="2"/>
        <v>0</v>
      </c>
      <c r="E57" s="5">
        <v>0</v>
      </c>
      <c r="F57" s="5">
        <f t="shared" si="3"/>
        <v>0</v>
      </c>
      <c r="G57" s="5">
        <v>0</v>
      </c>
      <c r="H57" s="5">
        <v>0</v>
      </c>
      <c r="I57" s="5">
        <v>0</v>
      </c>
      <c r="J57" s="5">
        <f t="shared" si="5"/>
        <v>0</v>
      </c>
      <c r="K57" s="5">
        <v>0</v>
      </c>
      <c r="L57" s="6">
        <f t="shared" si="6"/>
        <v>200000</v>
      </c>
    </row>
    <row r="58" spans="1:12" x14ac:dyDescent="0.45">
      <c r="A58" s="10">
        <f t="shared" si="1"/>
        <v>57</v>
      </c>
      <c r="B58" s="5" t="s">
        <v>126</v>
      </c>
      <c r="C58" s="5" t="s">
        <v>22</v>
      </c>
      <c r="D58" s="5">
        <f t="shared" si="2"/>
        <v>0</v>
      </c>
      <c r="E58" s="5">
        <v>0</v>
      </c>
      <c r="F58" s="5">
        <f t="shared" si="3"/>
        <v>0</v>
      </c>
      <c r="G58" s="5">
        <v>0</v>
      </c>
      <c r="H58" s="5">
        <v>0</v>
      </c>
      <c r="I58" s="5">
        <v>0</v>
      </c>
      <c r="J58" s="5">
        <f t="shared" si="5"/>
        <v>20000</v>
      </c>
      <c r="K58" s="5">
        <v>1</v>
      </c>
      <c r="L58" s="6">
        <f t="shared" si="6"/>
        <v>180000</v>
      </c>
    </row>
    <row r="59" spans="1:12" x14ac:dyDescent="0.45">
      <c r="A59" s="10">
        <f t="shared" si="1"/>
        <v>58</v>
      </c>
      <c r="B59" s="5" t="s">
        <v>127</v>
      </c>
      <c r="C59" s="5" t="s">
        <v>22</v>
      </c>
      <c r="D59" s="5">
        <f t="shared" si="2"/>
        <v>0</v>
      </c>
      <c r="E59" s="5">
        <v>0</v>
      </c>
      <c r="F59" s="5">
        <f t="shared" si="3"/>
        <v>80000</v>
      </c>
      <c r="G59" s="5">
        <v>1</v>
      </c>
      <c r="H59" s="5">
        <v>0</v>
      </c>
      <c r="I59" s="5">
        <v>0</v>
      </c>
      <c r="J59" s="5">
        <f t="shared" si="5"/>
        <v>0</v>
      </c>
      <c r="K59" s="5">
        <v>0</v>
      </c>
      <c r="L59" s="6">
        <f t="shared" si="6"/>
        <v>120000</v>
      </c>
    </row>
    <row r="60" spans="1:12" x14ac:dyDescent="0.45">
      <c r="A60" s="10">
        <f t="shared" si="1"/>
        <v>59</v>
      </c>
      <c r="B60" s="5" t="s">
        <v>128</v>
      </c>
      <c r="C60" s="5" t="s">
        <v>22</v>
      </c>
      <c r="D60" s="5">
        <f t="shared" si="2"/>
        <v>0</v>
      </c>
      <c r="E60" s="5">
        <v>0</v>
      </c>
      <c r="F60" s="5">
        <f t="shared" si="3"/>
        <v>0</v>
      </c>
      <c r="G60" s="5">
        <v>0</v>
      </c>
      <c r="H60" s="5">
        <v>0</v>
      </c>
      <c r="I60" s="5">
        <v>0</v>
      </c>
      <c r="J60" s="5">
        <f t="shared" si="5"/>
        <v>0</v>
      </c>
      <c r="K60" s="5">
        <v>0</v>
      </c>
      <c r="L60" s="6">
        <f t="shared" si="6"/>
        <v>200000</v>
      </c>
    </row>
    <row r="61" spans="1:12" x14ac:dyDescent="0.45">
      <c r="A61" s="10">
        <f t="shared" si="1"/>
        <v>60</v>
      </c>
      <c r="B61" s="5" t="s">
        <v>129</v>
      </c>
      <c r="C61" s="5" t="s">
        <v>22</v>
      </c>
      <c r="D61" s="5">
        <f t="shared" si="2"/>
        <v>0</v>
      </c>
      <c r="E61" s="5">
        <v>0</v>
      </c>
      <c r="F61" s="5">
        <f t="shared" si="3"/>
        <v>0</v>
      </c>
      <c r="G61" s="5">
        <v>0</v>
      </c>
      <c r="H61" s="5">
        <v>0</v>
      </c>
      <c r="I61" s="5">
        <v>0</v>
      </c>
      <c r="J61" s="5">
        <f t="shared" si="5"/>
        <v>0</v>
      </c>
      <c r="K61" s="5">
        <v>0</v>
      </c>
      <c r="L61" s="6">
        <f t="shared" si="6"/>
        <v>200000</v>
      </c>
    </row>
    <row r="62" spans="1:12" x14ac:dyDescent="0.45">
      <c r="A62" s="10">
        <f t="shared" si="1"/>
        <v>61</v>
      </c>
      <c r="B62" s="5" t="s">
        <v>130</v>
      </c>
      <c r="C62" s="5" t="s">
        <v>22</v>
      </c>
      <c r="D62" s="5">
        <f t="shared" si="2"/>
        <v>0</v>
      </c>
      <c r="E62" s="5">
        <v>0</v>
      </c>
      <c r="F62" s="5">
        <f t="shared" si="3"/>
        <v>80000</v>
      </c>
      <c r="G62" s="5">
        <v>1</v>
      </c>
      <c r="H62" s="5">
        <v>0</v>
      </c>
      <c r="I62" s="5">
        <v>0</v>
      </c>
      <c r="J62" s="5">
        <f t="shared" si="5"/>
        <v>20000</v>
      </c>
      <c r="K62" s="5">
        <v>1</v>
      </c>
      <c r="L62" s="6">
        <f t="shared" si="6"/>
        <v>100000</v>
      </c>
    </row>
    <row r="63" spans="1:12" x14ac:dyDescent="0.45">
      <c r="A63" s="10">
        <f t="shared" si="1"/>
        <v>62</v>
      </c>
      <c r="B63" s="5" t="s">
        <v>131</v>
      </c>
      <c r="C63" s="5" t="s">
        <v>22</v>
      </c>
      <c r="D63" s="5">
        <f t="shared" si="2"/>
        <v>0</v>
      </c>
      <c r="E63" s="5">
        <v>0</v>
      </c>
      <c r="F63" s="5">
        <f t="shared" si="3"/>
        <v>0</v>
      </c>
      <c r="G63" s="5">
        <v>0</v>
      </c>
      <c r="H63" s="5">
        <v>0</v>
      </c>
      <c r="I63" s="5">
        <v>0</v>
      </c>
      <c r="J63" s="5">
        <f t="shared" si="5"/>
        <v>0</v>
      </c>
      <c r="K63" s="5">
        <v>0</v>
      </c>
      <c r="L63" s="6">
        <f t="shared" si="6"/>
        <v>200000</v>
      </c>
    </row>
    <row r="64" spans="1:12" x14ac:dyDescent="0.45">
      <c r="A64" s="10">
        <f t="shared" si="1"/>
        <v>63</v>
      </c>
      <c r="B64" s="5" t="s">
        <v>132</v>
      </c>
      <c r="C64" s="5" t="s">
        <v>22</v>
      </c>
      <c r="D64" s="5">
        <f t="shared" si="2"/>
        <v>0</v>
      </c>
      <c r="E64" s="5">
        <v>0</v>
      </c>
      <c r="F64" s="5">
        <f t="shared" si="3"/>
        <v>240000</v>
      </c>
      <c r="G64" s="5">
        <v>3</v>
      </c>
      <c r="H64" s="5">
        <v>0</v>
      </c>
      <c r="I64" s="5">
        <v>0</v>
      </c>
      <c r="J64" s="5">
        <f t="shared" si="5"/>
        <v>0</v>
      </c>
      <c r="K64" s="5">
        <v>0</v>
      </c>
      <c r="L64" s="6">
        <f t="shared" si="6"/>
        <v>-40000</v>
      </c>
    </row>
    <row r="65" spans="1:12" x14ac:dyDescent="0.45">
      <c r="A65" s="10">
        <f t="shared" si="1"/>
        <v>64</v>
      </c>
      <c r="B65" s="5" t="s">
        <v>133</v>
      </c>
      <c r="C65" s="5" t="s">
        <v>22</v>
      </c>
      <c r="D65" s="5">
        <f t="shared" si="2"/>
        <v>0</v>
      </c>
      <c r="E65" s="5">
        <v>0</v>
      </c>
      <c r="F65" s="5">
        <f t="shared" si="3"/>
        <v>0</v>
      </c>
      <c r="G65" s="5">
        <v>0</v>
      </c>
      <c r="H65" s="5">
        <v>0</v>
      </c>
      <c r="I65" s="5">
        <v>0</v>
      </c>
      <c r="J65" s="5">
        <f t="shared" si="5"/>
        <v>0</v>
      </c>
      <c r="K65" s="5">
        <v>0</v>
      </c>
      <c r="L65" s="6">
        <f t="shared" si="6"/>
        <v>200000</v>
      </c>
    </row>
    <row r="66" spans="1:12" x14ac:dyDescent="0.45">
      <c r="A66" s="10">
        <f t="shared" si="1"/>
        <v>65</v>
      </c>
      <c r="B66" s="5" t="s">
        <v>134</v>
      </c>
      <c r="C66" s="5" t="s">
        <v>22</v>
      </c>
      <c r="D66" s="5">
        <f t="shared" si="2"/>
        <v>0</v>
      </c>
      <c r="E66" s="5">
        <v>0</v>
      </c>
      <c r="F66" s="5">
        <f t="shared" si="3"/>
        <v>80000</v>
      </c>
      <c r="G66" s="5">
        <v>1</v>
      </c>
      <c r="H66" s="5">
        <v>0</v>
      </c>
      <c r="I66" s="5">
        <v>0</v>
      </c>
      <c r="J66" s="5">
        <f t="shared" si="5"/>
        <v>0</v>
      </c>
      <c r="K66" s="5">
        <v>0</v>
      </c>
      <c r="L66" s="6">
        <f t="shared" ref="L66:L101" si="7">200000-H66-F66-D66-J66</f>
        <v>120000</v>
      </c>
    </row>
    <row r="67" spans="1:12" x14ac:dyDescent="0.45">
      <c r="A67" s="10">
        <f t="shared" ref="A67:A101" si="8">ROW(A67)-1</f>
        <v>66</v>
      </c>
      <c r="B67" s="5" t="s">
        <v>135</v>
      </c>
      <c r="C67" s="5" t="s">
        <v>22</v>
      </c>
      <c r="D67" s="5">
        <f t="shared" ref="D67:D101" si="9">E67*20000</f>
        <v>0</v>
      </c>
      <c r="E67" s="5">
        <v>0</v>
      </c>
      <c r="F67" s="5">
        <f t="shared" ref="F67:F101" si="10">G67*40000*2</f>
        <v>160000</v>
      </c>
      <c r="G67" s="5">
        <v>2</v>
      </c>
      <c r="H67" s="5">
        <v>0</v>
      </c>
      <c r="I67" s="5">
        <v>0</v>
      </c>
      <c r="J67" s="5">
        <f t="shared" ref="J67:J101" si="11">K67*20000</f>
        <v>0</v>
      </c>
      <c r="K67" s="5">
        <v>0</v>
      </c>
      <c r="L67" s="6">
        <f t="shared" si="7"/>
        <v>40000</v>
      </c>
    </row>
    <row r="68" spans="1:12" x14ac:dyDescent="0.45">
      <c r="A68" s="10">
        <f t="shared" si="8"/>
        <v>67</v>
      </c>
      <c r="B68" s="5" t="s">
        <v>136</v>
      </c>
      <c r="C68" s="5" t="s">
        <v>22</v>
      </c>
      <c r="D68" s="5">
        <f t="shared" si="9"/>
        <v>0</v>
      </c>
      <c r="E68" s="5">
        <v>0</v>
      </c>
      <c r="F68" s="5">
        <f t="shared" si="10"/>
        <v>0</v>
      </c>
      <c r="G68" s="5">
        <v>0</v>
      </c>
      <c r="H68" s="5">
        <v>0</v>
      </c>
      <c r="I68" s="5">
        <v>0</v>
      </c>
      <c r="J68" s="5">
        <f t="shared" si="11"/>
        <v>20000</v>
      </c>
      <c r="K68" s="5">
        <v>1</v>
      </c>
      <c r="L68" s="6">
        <f t="shared" si="7"/>
        <v>180000</v>
      </c>
    </row>
    <row r="69" spans="1:12" x14ac:dyDescent="0.45">
      <c r="A69" s="10">
        <f t="shared" si="8"/>
        <v>68</v>
      </c>
      <c r="B69" s="5" t="s">
        <v>137</v>
      </c>
      <c r="C69" s="5" t="s">
        <v>22</v>
      </c>
      <c r="D69" s="5">
        <f t="shared" si="9"/>
        <v>0</v>
      </c>
      <c r="E69" s="5">
        <v>0</v>
      </c>
      <c r="F69" s="5">
        <f t="shared" si="10"/>
        <v>0</v>
      </c>
      <c r="G69" s="5">
        <v>0</v>
      </c>
      <c r="H69" s="5">
        <v>0</v>
      </c>
      <c r="I69" s="5">
        <v>0</v>
      </c>
      <c r="J69" s="5">
        <f t="shared" si="11"/>
        <v>0</v>
      </c>
      <c r="K69" s="5">
        <v>0</v>
      </c>
      <c r="L69" s="6">
        <f t="shared" si="7"/>
        <v>200000</v>
      </c>
    </row>
    <row r="70" spans="1:12" x14ac:dyDescent="0.45">
      <c r="A70" s="10">
        <f t="shared" si="8"/>
        <v>69</v>
      </c>
      <c r="B70" s="5" t="s">
        <v>138</v>
      </c>
      <c r="C70" s="5" t="s">
        <v>22</v>
      </c>
      <c r="D70" s="5">
        <f t="shared" si="9"/>
        <v>20000</v>
      </c>
      <c r="E70" s="5">
        <v>1</v>
      </c>
      <c r="F70" s="5">
        <f t="shared" si="10"/>
        <v>0</v>
      </c>
      <c r="G70" s="5">
        <v>0</v>
      </c>
      <c r="H70" s="5">
        <v>0</v>
      </c>
      <c r="I70" s="5">
        <v>0</v>
      </c>
      <c r="J70" s="5">
        <f t="shared" si="11"/>
        <v>20000</v>
      </c>
      <c r="K70" s="5">
        <v>1</v>
      </c>
      <c r="L70" s="6">
        <f t="shared" si="7"/>
        <v>160000</v>
      </c>
    </row>
    <row r="71" spans="1:12" x14ac:dyDescent="0.45">
      <c r="A71" s="10">
        <f t="shared" si="8"/>
        <v>70</v>
      </c>
      <c r="B71" s="5" t="s">
        <v>139</v>
      </c>
      <c r="C71" s="5" t="s">
        <v>22</v>
      </c>
      <c r="D71" s="5">
        <f t="shared" si="9"/>
        <v>0</v>
      </c>
      <c r="E71" s="5">
        <v>0</v>
      </c>
      <c r="F71" s="5">
        <f t="shared" si="10"/>
        <v>240000</v>
      </c>
      <c r="G71" s="5">
        <v>3</v>
      </c>
      <c r="H71" s="5">
        <v>0</v>
      </c>
      <c r="I71" s="5">
        <v>0</v>
      </c>
      <c r="J71" s="5">
        <f t="shared" si="11"/>
        <v>0</v>
      </c>
      <c r="K71" s="5">
        <v>0</v>
      </c>
      <c r="L71" s="6">
        <f t="shared" si="7"/>
        <v>-40000</v>
      </c>
    </row>
    <row r="72" spans="1:12" x14ac:dyDescent="0.45">
      <c r="A72" s="10">
        <f t="shared" si="8"/>
        <v>71</v>
      </c>
      <c r="B72" s="5" t="s">
        <v>140</v>
      </c>
      <c r="C72" s="5" t="s">
        <v>22</v>
      </c>
      <c r="D72" s="5">
        <f t="shared" si="9"/>
        <v>0</v>
      </c>
      <c r="E72" s="5">
        <v>0</v>
      </c>
      <c r="F72" s="5">
        <f t="shared" si="10"/>
        <v>0</v>
      </c>
      <c r="G72" s="5">
        <v>0</v>
      </c>
      <c r="H72" s="5">
        <v>0</v>
      </c>
      <c r="I72" s="5">
        <v>0</v>
      </c>
      <c r="J72" s="5">
        <f t="shared" si="11"/>
        <v>0</v>
      </c>
      <c r="K72" s="5">
        <v>0</v>
      </c>
      <c r="L72" s="6">
        <f t="shared" si="7"/>
        <v>200000</v>
      </c>
    </row>
    <row r="73" spans="1:12" x14ac:dyDescent="0.45">
      <c r="A73" s="10">
        <f t="shared" si="8"/>
        <v>72</v>
      </c>
      <c r="B73" s="5" t="s">
        <v>141</v>
      </c>
      <c r="C73" s="5" t="s">
        <v>22</v>
      </c>
      <c r="D73" s="5">
        <f t="shared" si="9"/>
        <v>40000</v>
      </c>
      <c r="E73" s="5">
        <v>2</v>
      </c>
      <c r="F73" s="5">
        <f t="shared" si="10"/>
        <v>80000</v>
      </c>
      <c r="G73" s="5">
        <v>1</v>
      </c>
      <c r="H73" s="5">
        <v>0</v>
      </c>
      <c r="I73" s="5">
        <v>0</v>
      </c>
      <c r="J73" s="5">
        <f t="shared" si="11"/>
        <v>0</v>
      </c>
      <c r="K73" s="5">
        <v>0</v>
      </c>
      <c r="L73" s="6">
        <f t="shared" si="7"/>
        <v>80000</v>
      </c>
    </row>
    <row r="74" spans="1:12" x14ac:dyDescent="0.45">
      <c r="A74" s="10">
        <f t="shared" si="8"/>
        <v>73</v>
      </c>
      <c r="B74" s="5" t="s">
        <v>142</v>
      </c>
      <c r="C74" s="5" t="s">
        <v>22</v>
      </c>
      <c r="D74" s="5">
        <f t="shared" si="9"/>
        <v>0</v>
      </c>
      <c r="E74" s="5">
        <v>0</v>
      </c>
      <c r="F74" s="5">
        <f t="shared" si="10"/>
        <v>80000</v>
      </c>
      <c r="G74" s="5">
        <v>1</v>
      </c>
      <c r="H74" s="5">
        <v>0</v>
      </c>
      <c r="I74" s="5">
        <v>0</v>
      </c>
      <c r="J74" s="5">
        <f t="shared" si="11"/>
        <v>20000</v>
      </c>
      <c r="K74" s="5">
        <v>1</v>
      </c>
      <c r="L74" s="6">
        <f t="shared" si="7"/>
        <v>100000</v>
      </c>
    </row>
    <row r="75" spans="1:12" x14ac:dyDescent="0.45">
      <c r="A75" s="10">
        <f t="shared" si="8"/>
        <v>74</v>
      </c>
      <c r="B75" s="5" t="s">
        <v>143</v>
      </c>
      <c r="C75" s="5" t="s">
        <v>22</v>
      </c>
      <c r="D75" s="5">
        <f t="shared" si="9"/>
        <v>0</v>
      </c>
      <c r="E75" s="5">
        <v>0</v>
      </c>
      <c r="F75" s="5">
        <f t="shared" si="10"/>
        <v>0</v>
      </c>
      <c r="G75" s="5">
        <v>0</v>
      </c>
      <c r="H75" s="5">
        <v>0</v>
      </c>
      <c r="I75" s="5">
        <v>0</v>
      </c>
      <c r="J75" s="5">
        <f t="shared" si="11"/>
        <v>0</v>
      </c>
      <c r="K75" s="5">
        <v>0</v>
      </c>
      <c r="L75" s="6">
        <f t="shared" si="7"/>
        <v>200000</v>
      </c>
    </row>
    <row r="76" spans="1:12" x14ac:dyDescent="0.45">
      <c r="A76" s="10">
        <f t="shared" si="8"/>
        <v>75</v>
      </c>
      <c r="B76" s="5" t="s">
        <v>144</v>
      </c>
      <c r="C76" s="5" t="s">
        <v>22</v>
      </c>
      <c r="D76" s="5">
        <f t="shared" si="9"/>
        <v>0</v>
      </c>
      <c r="E76" s="5">
        <v>0</v>
      </c>
      <c r="F76" s="5">
        <f t="shared" si="10"/>
        <v>0</v>
      </c>
      <c r="G76" s="5">
        <v>0</v>
      </c>
      <c r="H76" s="5">
        <v>0</v>
      </c>
      <c r="I76" s="5">
        <v>0</v>
      </c>
      <c r="J76" s="5">
        <f t="shared" si="11"/>
        <v>0</v>
      </c>
      <c r="K76" s="5">
        <v>0</v>
      </c>
      <c r="L76" s="6">
        <f t="shared" si="7"/>
        <v>200000</v>
      </c>
    </row>
    <row r="77" spans="1:12" x14ac:dyDescent="0.45">
      <c r="A77" s="10">
        <f t="shared" si="8"/>
        <v>76</v>
      </c>
      <c r="B77" s="5" t="s">
        <v>145</v>
      </c>
      <c r="C77" s="5" t="s">
        <v>22</v>
      </c>
      <c r="D77" s="5">
        <f t="shared" si="9"/>
        <v>0</v>
      </c>
      <c r="E77" s="5">
        <v>0</v>
      </c>
      <c r="F77" s="5">
        <f t="shared" si="10"/>
        <v>0</v>
      </c>
      <c r="G77" s="5">
        <v>0</v>
      </c>
      <c r="H77" s="5">
        <v>0</v>
      </c>
      <c r="I77" s="5">
        <v>0</v>
      </c>
      <c r="J77" s="5">
        <f t="shared" si="11"/>
        <v>0</v>
      </c>
      <c r="K77" s="5">
        <v>0</v>
      </c>
      <c r="L77" s="6">
        <f t="shared" si="7"/>
        <v>200000</v>
      </c>
    </row>
    <row r="78" spans="1:12" x14ac:dyDescent="0.45">
      <c r="A78" s="10">
        <f t="shared" si="8"/>
        <v>77</v>
      </c>
      <c r="B78" s="5" t="s">
        <v>146</v>
      </c>
      <c r="C78" s="5" t="s">
        <v>22</v>
      </c>
      <c r="D78" s="5">
        <f t="shared" si="9"/>
        <v>0</v>
      </c>
      <c r="E78" s="5">
        <v>0</v>
      </c>
      <c r="F78" s="5">
        <f t="shared" si="10"/>
        <v>0</v>
      </c>
      <c r="G78" s="5">
        <v>0</v>
      </c>
      <c r="H78" s="5">
        <v>0</v>
      </c>
      <c r="I78" s="5">
        <v>0</v>
      </c>
      <c r="J78" s="5">
        <f t="shared" si="11"/>
        <v>0</v>
      </c>
      <c r="K78" s="5">
        <v>0</v>
      </c>
      <c r="L78" s="6">
        <f t="shared" si="7"/>
        <v>200000</v>
      </c>
    </row>
    <row r="79" spans="1:12" x14ac:dyDescent="0.45">
      <c r="A79" s="10">
        <f t="shared" si="8"/>
        <v>78</v>
      </c>
      <c r="B79" s="5" t="s">
        <v>147</v>
      </c>
      <c r="C79" s="5" t="s">
        <v>22</v>
      </c>
      <c r="D79" s="5">
        <f t="shared" si="9"/>
        <v>0</v>
      </c>
      <c r="E79" s="5">
        <v>0</v>
      </c>
      <c r="F79" s="5">
        <f t="shared" si="10"/>
        <v>0</v>
      </c>
      <c r="G79" s="5">
        <v>0</v>
      </c>
      <c r="H79" s="5">
        <v>0</v>
      </c>
      <c r="I79" s="5">
        <v>0</v>
      </c>
      <c r="J79" s="5">
        <f t="shared" si="11"/>
        <v>20000</v>
      </c>
      <c r="K79" s="5">
        <v>1</v>
      </c>
      <c r="L79" s="6">
        <f t="shared" si="7"/>
        <v>180000</v>
      </c>
    </row>
    <row r="80" spans="1:12" x14ac:dyDescent="0.45">
      <c r="A80" s="10">
        <f t="shared" si="8"/>
        <v>79</v>
      </c>
      <c r="B80" s="5" t="s">
        <v>148</v>
      </c>
      <c r="C80" s="5" t="s">
        <v>22</v>
      </c>
      <c r="D80" s="5">
        <f t="shared" si="9"/>
        <v>0</v>
      </c>
      <c r="E80" s="5">
        <v>0</v>
      </c>
      <c r="F80" s="5">
        <f t="shared" si="10"/>
        <v>0</v>
      </c>
      <c r="G80" s="5">
        <v>0</v>
      </c>
      <c r="H80" s="5">
        <v>0</v>
      </c>
      <c r="I80" s="5">
        <v>0</v>
      </c>
      <c r="J80" s="5">
        <f t="shared" si="11"/>
        <v>0</v>
      </c>
      <c r="K80" s="5">
        <v>0</v>
      </c>
      <c r="L80" s="6">
        <f t="shared" si="7"/>
        <v>200000</v>
      </c>
    </row>
    <row r="81" spans="1:12" x14ac:dyDescent="0.45">
      <c r="A81" s="10">
        <f t="shared" si="8"/>
        <v>80</v>
      </c>
      <c r="B81" s="5" t="s">
        <v>149</v>
      </c>
      <c r="C81" s="5" t="s">
        <v>22</v>
      </c>
      <c r="D81" s="5">
        <f t="shared" si="9"/>
        <v>0</v>
      </c>
      <c r="E81" s="5">
        <v>0</v>
      </c>
      <c r="F81" s="5">
        <f t="shared" si="10"/>
        <v>80000</v>
      </c>
      <c r="G81" s="5">
        <v>1</v>
      </c>
      <c r="H81" s="5">
        <v>0</v>
      </c>
      <c r="I81" s="5">
        <v>0</v>
      </c>
      <c r="J81" s="5">
        <f t="shared" si="11"/>
        <v>20000</v>
      </c>
      <c r="K81" s="5">
        <v>1</v>
      </c>
      <c r="L81" s="6">
        <f t="shared" si="7"/>
        <v>100000</v>
      </c>
    </row>
    <row r="82" spans="1:12" x14ac:dyDescent="0.45">
      <c r="A82" s="10">
        <f t="shared" si="8"/>
        <v>81</v>
      </c>
      <c r="B82" s="5" t="s">
        <v>150</v>
      </c>
      <c r="C82" s="5" t="s">
        <v>22</v>
      </c>
      <c r="D82" s="5">
        <f t="shared" si="9"/>
        <v>0</v>
      </c>
      <c r="E82" s="5">
        <v>0</v>
      </c>
      <c r="F82" s="5">
        <f t="shared" si="10"/>
        <v>80000</v>
      </c>
      <c r="G82" s="5">
        <v>1</v>
      </c>
      <c r="H82" s="5">
        <v>0</v>
      </c>
      <c r="I82" s="5">
        <v>0</v>
      </c>
      <c r="J82" s="5">
        <f t="shared" si="11"/>
        <v>0</v>
      </c>
      <c r="K82" s="5">
        <v>0</v>
      </c>
      <c r="L82" s="6">
        <f t="shared" si="7"/>
        <v>120000</v>
      </c>
    </row>
    <row r="83" spans="1:12" x14ac:dyDescent="0.45">
      <c r="A83" s="10">
        <f t="shared" si="8"/>
        <v>82</v>
      </c>
      <c r="B83" s="5" t="s">
        <v>151</v>
      </c>
      <c r="C83" s="5" t="s">
        <v>22</v>
      </c>
      <c r="D83" s="5">
        <f t="shared" si="9"/>
        <v>0</v>
      </c>
      <c r="E83" s="5">
        <v>0</v>
      </c>
      <c r="F83" s="5">
        <f t="shared" si="10"/>
        <v>80000</v>
      </c>
      <c r="G83" s="5">
        <v>1</v>
      </c>
      <c r="H83" s="5">
        <v>0</v>
      </c>
      <c r="I83" s="5">
        <v>0</v>
      </c>
      <c r="J83" s="5">
        <f t="shared" si="11"/>
        <v>20000</v>
      </c>
      <c r="K83" s="5">
        <v>1</v>
      </c>
      <c r="L83" s="6">
        <f t="shared" si="7"/>
        <v>100000</v>
      </c>
    </row>
    <row r="84" spans="1:12" x14ac:dyDescent="0.45">
      <c r="A84" s="10">
        <f t="shared" si="8"/>
        <v>83</v>
      </c>
      <c r="B84" s="5" t="s">
        <v>152</v>
      </c>
      <c r="C84" s="5" t="s">
        <v>22</v>
      </c>
      <c r="D84" s="5">
        <f t="shared" si="9"/>
        <v>0</v>
      </c>
      <c r="E84" s="5">
        <v>0</v>
      </c>
      <c r="F84" s="5">
        <f t="shared" si="10"/>
        <v>0</v>
      </c>
      <c r="G84" s="5">
        <v>0</v>
      </c>
      <c r="H84" s="5">
        <v>0</v>
      </c>
      <c r="I84" s="5">
        <v>0</v>
      </c>
      <c r="J84" s="5">
        <f t="shared" si="11"/>
        <v>20000</v>
      </c>
      <c r="K84" s="5">
        <v>1</v>
      </c>
      <c r="L84" s="6">
        <f t="shared" si="7"/>
        <v>180000</v>
      </c>
    </row>
    <row r="85" spans="1:12" x14ac:dyDescent="0.45">
      <c r="A85" s="10">
        <f t="shared" si="8"/>
        <v>84</v>
      </c>
      <c r="B85" s="5" t="s">
        <v>153</v>
      </c>
      <c r="C85" s="5" t="s">
        <v>22</v>
      </c>
      <c r="D85" s="5">
        <f t="shared" si="9"/>
        <v>0</v>
      </c>
      <c r="E85" s="5">
        <v>0</v>
      </c>
      <c r="F85" s="5">
        <f t="shared" si="10"/>
        <v>0</v>
      </c>
      <c r="G85" s="5">
        <v>0</v>
      </c>
      <c r="H85" s="5">
        <v>0</v>
      </c>
      <c r="I85" s="5">
        <v>0</v>
      </c>
      <c r="J85" s="5">
        <f t="shared" si="11"/>
        <v>20000</v>
      </c>
      <c r="K85" s="5">
        <v>1</v>
      </c>
      <c r="L85" s="6">
        <f t="shared" si="7"/>
        <v>180000</v>
      </c>
    </row>
    <row r="86" spans="1:12" x14ac:dyDescent="0.45">
      <c r="A86" s="10">
        <f t="shared" si="8"/>
        <v>85</v>
      </c>
      <c r="B86" s="5" t="s">
        <v>154</v>
      </c>
      <c r="C86" s="5" t="s">
        <v>22</v>
      </c>
      <c r="D86" s="5">
        <f t="shared" si="9"/>
        <v>0</v>
      </c>
      <c r="E86" s="5">
        <v>0</v>
      </c>
      <c r="F86" s="5">
        <f t="shared" si="10"/>
        <v>0</v>
      </c>
      <c r="G86" s="5">
        <v>0</v>
      </c>
      <c r="H86" s="5">
        <v>0</v>
      </c>
      <c r="I86" s="5">
        <v>0</v>
      </c>
      <c r="J86" s="5">
        <f t="shared" si="11"/>
        <v>0</v>
      </c>
      <c r="K86" s="5">
        <v>0</v>
      </c>
      <c r="L86" s="6">
        <f t="shared" si="7"/>
        <v>200000</v>
      </c>
    </row>
    <row r="87" spans="1:12" x14ac:dyDescent="0.45">
      <c r="A87" s="10">
        <f t="shared" si="8"/>
        <v>86</v>
      </c>
      <c r="B87" s="5" t="s">
        <v>155</v>
      </c>
      <c r="C87" s="5" t="s">
        <v>22</v>
      </c>
      <c r="D87" s="5">
        <f t="shared" si="9"/>
        <v>0</v>
      </c>
      <c r="E87" s="5">
        <v>0</v>
      </c>
      <c r="F87" s="5">
        <f t="shared" si="10"/>
        <v>0</v>
      </c>
      <c r="G87" s="5">
        <v>0</v>
      </c>
      <c r="H87" s="5">
        <v>0</v>
      </c>
      <c r="I87" s="5">
        <v>0</v>
      </c>
      <c r="J87" s="5">
        <f t="shared" si="11"/>
        <v>0</v>
      </c>
      <c r="K87" s="5">
        <v>0</v>
      </c>
      <c r="L87" s="6">
        <f t="shared" si="7"/>
        <v>200000</v>
      </c>
    </row>
    <row r="88" spans="1:12" x14ac:dyDescent="0.45">
      <c r="A88" s="10">
        <f t="shared" si="8"/>
        <v>87</v>
      </c>
      <c r="B88" s="5" t="s">
        <v>156</v>
      </c>
      <c r="C88" s="5" t="s">
        <v>22</v>
      </c>
      <c r="D88" s="5">
        <f t="shared" si="9"/>
        <v>0</v>
      </c>
      <c r="E88" s="5">
        <v>0</v>
      </c>
      <c r="F88" s="5">
        <f t="shared" si="10"/>
        <v>160000</v>
      </c>
      <c r="G88" s="5">
        <v>2</v>
      </c>
      <c r="H88" s="5">
        <v>0</v>
      </c>
      <c r="I88" s="5">
        <v>0</v>
      </c>
      <c r="J88" s="5">
        <f t="shared" si="11"/>
        <v>0</v>
      </c>
      <c r="K88" s="5">
        <v>0</v>
      </c>
      <c r="L88" s="6">
        <f t="shared" si="7"/>
        <v>40000</v>
      </c>
    </row>
    <row r="89" spans="1:12" x14ac:dyDescent="0.45">
      <c r="A89" s="10">
        <f t="shared" si="8"/>
        <v>88</v>
      </c>
      <c r="B89" s="5" t="s">
        <v>157</v>
      </c>
      <c r="C89" s="5" t="s">
        <v>22</v>
      </c>
      <c r="D89" s="5">
        <f t="shared" si="9"/>
        <v>0</v>
      </c>
      <c r="E89" s="5">
        <v>0</v>
      </c>
      <c r="F89" s="5">
        <f t="shared" si="10"/>
        <v>0</v>
      </c>
      <c r="G89" s="5">
        <v>0</v>
      </c>
      <c r="H89" s="5">
        <v>0</v>
      </c>
      <c r="I89" s="5">
        <v>0</v>
      </c>
      <c r="J89" s="5">
        <f t="shared" si="11"/>
        <v>0</v>
      </c>
      <c r="K89" s="5">
        <v>0</v>
      </c>
      <c r="L89" s="6">
        <f t="shared" si="7"/>
        <v>200000</v>
      </c>
    </row>
    <row r="90" spans="1:12" x14ac:dyDescent="0.45">
      <c r="A90" s="10">
        <f t="shared" si="8"/>
        <v>89</v>
      </c>
      <c r="B90" s="5" t="s">
        <v>158</v>
      </c>
      <c r="C90" s="5" t="s">
        <v>22</v>
      </c>
      <c r="D90" s="5">
        <f t="shared" si="9"/>
        <v>0</v>
      </c>
      <c r="E90" s="5">
        <v>0</v>
      </c>
      <c r="F90" s="5">
        <f t="shared" si="10"/>
        <v>0</v>
      </c>
      <c r="G90" s="5">
        <v>0</v>
      </c>
      <c r="H90" s="5">
        <v>0</v>
      </c>
      <c r="I90" s="5">
        <v>0</v>
      </c>
      <c r="J90" s="5">
        <f t="shared" si="11"/>
        <v>20000</v>
      </c>
      <c r="K90" s="5">
        <v>1</v>
      </c>
      <c r="L90" s="6">
        <f t="shared" si="7"/>
        <v>180000</v>
      </c>
    </row>
    <row r="91" spans="1:12" x14ac:dyDescent="0.45">
      <c r="A91" s="10">
        <f t="shared" si="8"/>
        <v>90</v>
      </c>
      <c r="B91" s="5" t="s">
        <v>159</v>
      </c>
      <c r="C91" s="5" t="s">
        <v>22</v>
      </c>
      <c r="D91" s="5">
        <f t="shared" si="9"/>
        <v>0</v>
      </c>
      <c r="E91" s="5">
        <v>0</v>
      </c>
      <c r="F91" s="5">
        <f t="shared" si="10"/>
        <v>80000</v>
      </c>
      <c r="G91" s="5">
        <v>1</v>
      </c>
      <c r="H91" s="5">
        <v>0</v>
      </c>
      <c r="I91" s="5">
        <v>0</v>
      </c>
      <c r="J91" s="5">
        <f t="shared" si="11"/>
        <v>20000</v>
      </c>
      <c r="K91" s="5">
        <v>1</v>
      </c>
      <c r="L91" s="6">
        <f t="shared" si="7"/>
        <v>100000</v>
      </c>
    </row>
    <row r="92" spans="1:12" x14ac:dyDescent="0.45">
      <c r="A92" s="10">
        <f t="shared" si="8"/>
        <v>91</v>
      </c>
      <c r="B92" s="5" t="s">
        <v>160</v>
      </c>
      <c r="C92" s="5" t="s">
        <v>22</v>
      </c>
      <c r="D92" s="5">
        <f t="shared" si="9"/>
        <v>0</v>
      </c>
      <c r="E92" s="5">
        <v>0</v>
      </c>
      <c r="F92" s="5">
        <f t="shared" si="10"/>
        <v>0</v>
      </c>
      <c r="G92" s="5">
        <v>0</v>
      </c>
      <c r="H92" s="5">
        <v>0</v>
      </c>
      <c r="I92" s="5">
        <v>0</v>
      </c>
      <c r="J92" s="5">
        <f t="shared" si="11"/>
        <v>20000</v>
      </c>
      <c r="K92" s="5">
        <v>1</v>
      </c>
      <c r="L92" s="6">
        <f t="shared" si="7"/>
        <v>180000</v>
      </c>
    </row>
    <row r="93" spans="1:12" x14ac:dyDescent="0.45">
      <c r="A93" s="10">
        <f t="shared" si="8"/>
        <v>92</v>
      </c>
      <c r="B93" s="5" t="s">
        <v>161</v>
      </c>
      <c r="C93" s="5" t="s">
        <v>22</v>
      </c>
      <c r="D93" s="5">
        <f t="shared" si="9"/>
        <v>0</v>
      </c>
      <c r="E93" s="5">
        <v>0</v>
      </c>
      <c r="F93" s="5">
        <f t="shared" si="10"/>
        <v>0</v>
      </c>
      <c r="G93" s="5">
        <v>0</v>
      </c>
      <c r="H93" s="5">
        <v>0</v>
      </c>
      <c r="I93" s="5">
        <v>0</v>
      </c>
      <c r="J93" s="5">
        <f t="shared" si="11"/>
        <v>20000</v>
      </c>
      <c r="K93" s="5">
        <v>1</v>
      </c>
      <c r="L93" s="6">
        <f t="shared" si="7"/>
        <v>180000</v>
      </c>
    </row>
    <row r="94" spans="1:12" x14ac:dyDescent="0.45">
      <c r="A94" s="10">
        <f t="shared" si="8"/>
        <v>93</v>
      </c>
      <c r="B94" s="5" t="s">
        <v>162</v>
      </c>
      <c r="C94" s="5" t="s">
        <v>22</v>
      </c>
      <c r="D94" s="5">
        <f t="shared" si="9"/>
        <v>0</v>
      </c>
      <c r="E94" s="5">
        <v>0</v>
      </c>
      <c r="F94" s="5">
        <f t="shared" si="10"/>
        <v>80000</v>
      </c>
      <c r="G94" s="5">
        <v>1</v>
      </c>
      <c r="H94" s="5">
        <v>0</v>
      </c>
      <c r="I94" s="5">
        <v>0</v>
      </c>
      <c r="J94" s="5">
        <f t="shared" si="11"/>
        <v>0</v>
      </c>
      <c r="K94" s="5">
        <v>0</v>
      </c>
      <c r="L94" s="6">
        <f t="shared" si="7"/>
        <v>120000</v>
      </c>
    </row>
    <row r="95" spans="1:12" x14ac:dyDescent="0.45">
      <c r="A95" s="10">
        <f t="shared" si="8"/>
        <v>94</v>
      </c>
      <c r="B95" s="5" t="s">
        <v>163</v>
      </c>
      <c r="C95" s="5" t="s">
        <v>22</v>
      </c>
      <c r="D95" s="5">
        <f t="shared" si="9"/>
        <v>0</v>
      </c>
      <c r="E95" s="5">
        <v>0</v>
      </c>
      <c r="F95" s="5">
        <f t="shared" si="10"/>
        <v>0</v>
      </c>
      <c r="G95" s="5">
        <v>0</v>
      </c>
      <c r="H95" s="5">
        <v>0</v>
      </c>
      <c r="I95" s="5">
        <v>0</v>
      </c>
      <c r="J95" s="5">
        <f t="shared" si="11"/>
        <v>0</v>
      </c>
      <c r="K95" s="5">
        <v>0</v>
      </c>
      <c r="L95" s="6">
        <f t="shared" si="7"/>
        <v>200000</v>
      </c>
    </row>
    <row r="96" spans="1:12" x14ac:dyDescent="0.45">
      <c r="A96" s="10">
        <f t="shared" si="8"/>
        <v>95</v>
      </c>
      <c r="B96" s="5" t="s">
        <v>164</v>
      </c>
      <c r="C96" s="5" t="s">
        <v>22</v>
      </c>
      <c r="D96" s="5">
        <f t="shared" si="9"/>
        <v>0</v>
      </c>
      <c r="E96" s="5">
        <v>0</v>
      </c>
      <c r="F96" s="5">
        <f t="shared" si="10"/>
        <v>0</v>
      </c>
      <c r="G96" s="5">
        <v>0</v>
      </c>
      <c r="H96" s="5">
        <f t="shared" ref="H96:H100" si="12">I96*50000</f>
        <v>0</v>
      </c>
      <c r="I96" s="5">
        <v>0</v>
      </c>
      <c r="J96" s="5">
        <f t="shared" si="11"/>
        <v>20000</v>
      </c>
      <c r="K96" s="5">
        <v>1</v>
      </c>
      <c r="L96" s="6">
        <f t="shared" si="7"/>
        <v>180000</v>
      </c>
    </row>
    <row r="97" spans="1:12" x14ac:dyDescent="0.45">
      <c r="A97" s="10">
        <f t="shared" si="8"/>
        <v>96</v>
      </c>
      <c r="B97" s="5" t="s">
        <v>165</v>
      </c>
      <c r="C97" s="5" t="s">
        <v>22</v>
      </c>
      <c r="D97" s="5">
        <f t="shared" si="9"/>
        <v>20000</v>
      </c>
      <c r="E97" s="5">
        <v>1</v>
      </c>
      <c r="F97" s="5">
        <f t="shared" si="10"/>
        <v>80000</v>
      </c>
      <c r="G97" s="5">
        <v>1</v>
      </c>
      <c r="H97" s="5">
        <f t="shared" si="12"/>
        <v>0</v>
      </c>
      <c r="I97" s="5">
        <v>0</v>
      </c>
      <c r="J97" s="5">
        <f t="shared" si="11"/>
        <v>20000</v>
      </c>
      <c r="K97" s="5">
        <v>1</v>
      </c>
      <c r="L97" s="6">
        <f t="shared" si="7"/>
        <v>80000</v>
      </c>
    </row>
    <row r="98" spans="1:12" x14ac:dyDescent="0.45">
      <c r="A98" s="10">
        <f t="shared" si="8"/>
        <v>97</v>
      </c>
      <c r="B98" s="5" t="s">
        <v>166</v>
      </c>
      <c r="C98" s="5" t="s">
        <v>22</v>
      </c>
      <c r="D98" s="5">
        <f t="shared" si="9"/>
        <v>0</v>
      </c>
      <c r="E98" s="5">
        <v>0</v>
      </c>
      <c r="F98" s="5">
        <f t="shared" si="10"/>
        <v>0</v>
      </c>
      <c r="G98" s="5">
        <v>0</v>
      </c>
      <c r="H98" s="5">
        <f t="shared" si="12"/>
        <v>0</v>
      </c>
      <c r="I98" s="5">
        <v>0</v>
      </c>
      <c r="J98" s="5">
        <f t="shared" si="11"/>
        <v>20000</v>
      </c>
      <c r="K98" s="5">
        <v>1</v>
      </c>
      <c r="L98" s="6">
        <f t="shared" si="7"/>
        <v>180000</v>
      </c>
    </row>
    <row r="99" spans="1:12" x14ac:dyDescent="0.45">
      <c r="A99" s="10">
        <f t="shared" si="8"/>
        <v>98</v>
      </c>
      <c r="B99" s="5" t="s">
        <v>167</v>
      </c>
      <c r="C99" s="5" t="s">
        <v>22</v>
      </c>
      <c r="D99" s="5">
        <f t="shared" si="9"/>
        <v>0</v>
      </c>
      <c r="E99" s="5">
        <v>0</v>
      </c>
      <c r="F99" s="5">
        <f t="shared" si="10"/>
        <v>0</v>
      </c>
      <c r="G99" s="5">
        <v>0</v>
      </c>
      <c r="H99" s="5">
        <f t="shared" si="12"/>
        <v>0</v>
      </c>
      <c r="I99" s="5">
        <v>0</v>
      </c>
      <c r="J99" s="5">
        <f t="shared" si="11"/>
        <v>0</v>
      </c>
      <c r="K99" s="5">
        <v>0</v>
      </c>
      <c r="L99" s="6">
        <f t="shared" si="7"/>
        <v>200000</v>
      </c>
    </row>
    <row r="100" spans="1:12" x14ac:dyDescent="0.45">
      <c r="A100" s="10">
        <f t="shared" si="8"/>
        <v>99</v>
      </c>
      <c r="B100" s="5" t="s">
        <v>168</v>
      </c>
      <c r="C100" s="5" t="s">
        <v>22</v>
      </c>
      <c r="D100" s="5">
        <f t="shared" si="9"/>
        <v>0</v>
      </c>
      <c r="E100" s="5">
        <v>0</v>
      </c>
      <c r="F100" s="5">
        <f t="shared" si="10"/>
        <v>0</v>
      </c>
      <c r="G100" s="5">
        <v>0</v>
      </c>
      <c r="H100" s="5">
        <f t="shared" si="12"/>
        <v>0</v>
      </c>
      <c r="I100" s="5">
        <v>0</v>
      </c>
      <c r="J100" s="5">
        <f t="shared" si="11"/>
        <v>0</v>
      </c>
      <c r="K100" s="5">
        <v>0</v>
      </c>
      <c r="L100" s="6">
        <f t="shared" si="7"/>
        <v>200000</v>
      </c>
    </row>
    <row r="101" spans="1:12" x14ac:dyDescent="0.45">
      <c r="A101" s="14">
        <f t="shared" si="8"/>
        <v>100</v>
      </c>
      <c r="B101" s="5" t="s">
        <v>169</v>
      </c>
      <c r="C101" s="5" t="s">
        <v>22</v>
      </c>
      <c r="D101" s="15">
        <f t="shared" si="9"/>
        <v>0</v>
      </c>
      <c r="E101" s="5">
        <v>0</v>
      </c>
      <c r="F101" s="5">
        <f t="shared" si="10"/>
        <v>0</v>
      </c>
      <c r="G101" s="5">
        <v>0</v>
      </c>
      <c r="H101" s="15">
        <f t="shared" ref="H101:H164" si="13">I101*30000</f>
        <v>0</v>
      </c>
      <c r="I101" s="5">
        <v>0</v>
      </c>
      <c r="J101" s="5">
        <f t="shared" si="11"/>
        <v>20000</v>
      </c>
      <c r="K101" s="5">
        <v>1</v>
      </c>
      <c r="L101" s="16">
        <f t="shared" si="7"/>
        <v>180000</v>
      </c>
    </row>
    <row r="102" spans="1:12" x14ac:dyDescent="0.45">
      <c r="A102" s="10">
        <f t="shared" ref="A102:A119" si="14">ROW(A102)-1</f>
        <v>101</v>
      </c>
      <c r="B102" s="5" t="s">
        <v>170</v>
      </c>
      <c r="C102" s="5" t="s">
        <v>22</v>
      </c>
      <c r="D102" s="5">
        <f t="shared" ref="D102:D119" si="15">E102*20000</f>
        <v>0</v>
      </c>
      <c r="E102" s="5">
        <v>0</v>
      </c>
      <c r="F102" s="5">
        <f t="shared" ref="F102:F119" si="16">G102*40000*2</f>
        <v>80000</v>
      </c>
      <c r="G102" s="5">
        <v>1</v>
      </c>
      <c r="H102" s="15">
        <f t="shared" si="13"/>
        <v>0</v>
      </c>
      <c r="I102" s="5">
        <v>0</v>
      </c>
      <c r="J102" s="5">
        <f t="shared" ref="J102:J119" si="17">K102*20000</f>
        <v>0</v>
      </c>
      <c r="K102" s="5">
        <v>0</v>
      </c>
      <c r="L102" s="6">
        <f t="shared" ref="L102:L119" si="18">200000-H102-F102-D102-J102</f>
        <v>120000</v>
      </c>
    </row>
    <row r="103" spans="1:12" x14ac:dyDescent="0.45">
      <c r="A103" s="10">
        <f t="shared" si="14"/>
        <v>102</v>
      </c>
      <c r="B103" s="5" t="s">
        <v>171</v>
      </c>
      <c r="C103" s="5" t="s">
        <v>22</v>
      </c>
      <c r="D103" s="5">
        <f t="shared" si="15"/>
        <v>20000</v>
      </c>
      <c r="E103" s="5">
        <v>1</v>
      </c>
      <c r="F103" s="5">
        <f t="shared" si="16"/>
        <v>80000</v>
      </c>
      <c r="G103" s="5">
        <v>1</v>
      </c>
      <c r="H103" s="15">
        <f t="shared" si="13"/>
        <v>0</v>
      </c>
      <c r="I103" s="5">
        <v>0</v>
      </c>
      <c r="J103" s="5">
        <f t="shared" si="17"/>
        <v>0</v>
      </c>
      <c r="K103" s="5">
        <v>0</v>
      </c>
      <c r="L103" s="6">
        <f t="shared" si="18"/>
        <v>100000</v>
      </c>
    </row>
    <row r="104" spans="1:12" x14ac:dyDescent="0.45">
      <c r="A104" s="10">
        <f t="shared" si="14"/>
        <v>103</v>
      </c>
      <c r="B104" s="5" t="s">
        <v>172</v>
      </c>
      <c r="C104" s="5" t="s">
        <v>22</v>
      </c>
      <c r="D104" s="5">
        <f t="shared" si="15"/>
        <v>0</v>
      </c>
      <c r="E104" s="5">
        <v>0</v>
      </c>
      <c r="F104" s="5">
        <f t="shared" si="16"/>
        <v>0</v>
      </c>
      <c r="G104" s="5">
        <v>0</v>
      </c>
      <c r="H104" s="15">
        <f t="shared" si="13"/>
        <v>0</v>
      </c>
      <c r="I104" s="5">
        <v>0</v>
      </c>
      <c r="J104" s="5">
        <f t="shared" si="17"/>
        <v>0</v>
      </c>
      <c r="K104" s="5">
        <v>0</v>
      </c>
      <c r="L104" s="6">
        <f t="shared" si="18"/>
        <v>200000</v>
      </c>
    </row>
    <row r="105" spans="1:12" x14ac:dyDescent="0.45">
      <c r="A105" s="10">
        <f t="shared" si="14"/>
        <v>104</v>
      </c>
      <c r="B105" s="5" t="s">
        <v>173</v>
      </c>
      <c r="C105" s="5" t="s">
        <v>22</v>
      </c>
      <c r="D105" s="5">
        <f t="shared" si="15"/>
        <v>0</v>
      </c>
      <c r="E105" s="5">
        <v>0</v>
      </c>
      <c r="F105" s="5">
        <f t="shared" si="16"/>
        <v>0</v>
      </c>
      <c r="G105" s="5">
        <v>0</v>
      </c>
      <c r="H105" s="15">
        <f t="shared" si="13"/>
        <v>0</v>
      </c>
      <c r="I105" s="5">
        <v>0</v>
      </c>
      <c r="J105" s="5">
        <f t="shared" si="17"/>
        <v>0</v>
      </c>
      <c r="K105" s="5">
        <v>0</v>
      </c>
      <c r="L105" s="6">
        <f t="shared" si="18"/>
        <v>200000</v>
      </c>
    </row>
    <row r="106" spans="1:12" x14ac:dyDescent="0.45">
      <c r="A106" s="10">
        <f t="shared" si="14"/>
        <v>105</v>
      </c>
      <c r="B106" s="5" t="s">
        <v>174</v>
      </c>
      <c r="C106" s="5" t="s">
        <v>22</v>
      </c>
      <c r="D106" s="5">
        <f t="shared" si="15"/>
        <v>0</v>
      </c>
      <c r="E106" s="5">
        <v>0</v>
      </c>
      <c r="F106" s="5">
        <f t="shared" si="16"/>
        <v>0</v>
      </c>
      <c r="G106" s="5">
        <v>0</v>
      </c>
      <c r="H106" s="15">
        <f t="shared" si="13"/>
        <v>0</v>
      </c>
      <c r="I106" s="5">
        <v>0</v>
      </c>
      <c r="J106" s="5">
        <f t="shared" si="17"/>
        <v>0</v>
      </c>
      <c r="K106" s="5">
        <v>0</v>
      </c>
      <c r="L106" s="6">
        <f t="shared" si="18"/>
        <v>200000</v>
      </c>
    </row>
    <row r="107" spans="1:12" x14ac:dyDescent="0.45">
      <c r="A107" s="10">
        <f t="shared" si="14"/>
        <v>106</v>
      </c>
      <c r="B107" s="5" t="s">
        <v>175</v>
      </c>
      <c r="C107" s="5" t="s">
        <v>22</v>
      </c>
      <c r="D107" s="5">
        <f t="shared" si="15"/>
        <v>0</v>
      </c>
      <c r="E107" s="5">
        <v>0</v>
      </c>
      <c r="F107" s="5">
        <f t="shared" si="16"/>
        <v>80000</v>
      </c>
      <c r="G107" s="5">
        <v>1</v>
      </c>
      <c r="H107" s="15">
        <f t="shared" si="13"/>
        <v>0</v>
      </c>
      <c r="I107" s="5">
        <v>0</v>
      </c>
      <c r="J107" s="5">
        <f t="shared" si="17"/>
        <v>0</v>
      </c>
      <c r="K107" s="5">
        <v>0</v>
      </c>
      <c r="L107" s="6">
        <f t="shared" si="18"/>
        <v>120000</v>
      </c>
    </row>
    <row r="108" spans="1:12" x14ac:dyDescent="0.45">
      <c r="A108" s="10">
        <f t="shared" si="14"/>
        <v>107</v>
      </c>
      <c r="B108" s="5" t="s">
        <v>176</v>
      </c>
      <c r="C108" s="5" t="s">
        <v>22</v>
      </c>
      <c r="D108" s="5">
        <f t="shared" si="15"/>
        <v>20000</v>
      </c>
      <c r="E108" s="5">
        <v>1</v>
      </c>
      <c r="F108" s="5">
        <f t="shared" si="16"/>
        <v>0</v>
      </c>
      <c r="G108" s="5">
        <v>0</v>
      </c>
      <c r="H108" s="15">
        <f t="shared" si="13"/>
        <v>0</v>
      </c>
      <c r="I108" s="5">
        <v>0</v>
      </c>
      <c r="J108" s="5">
        <f t="shared" si="17"/>
        <v>0</v>
      </c>
      <c r="K108" s="5">
        <v>0</v>
      </c>
      <c r="L108" s="6">
        <f t="shared" si="18"/>
        <v>180000</v>
      </c>
    </row>
    <row r="109" spans="1:12" x14ac:dyDescent="0.45">
      <c r="A109" s="10">
        <f t="shared" si="14"/>
        <v>108</v>
      </c>
      <c r="B109" s="5" t="s">
        <v>177</v>
      </c>
      <c r="C109" s="5" t="s">
        <v>22</v>
      </c>
      <c r="D109" s="5">
        <f t="shared" si="15"/>
        <v>0</v>
      </c>
      <c r="E109" s="5">
        <v>0</v>
      </c>
      <c r="F109" s="5">
        <f t="shared" si="16"/>
        <v>0</v>
      </c>
      <c r="G109" s="5">
        <v>0</v>
      </c>
      <c r="H109" s="15">
        <f t="shared" si="13"/>
        <v>0</v>
      </c>
      <c r="I109" s="5">
        <v>0</v>
      </c>
      <c r="J109" s="5">
        <f t="shared" si="17"/>
        <v>0</v>
      </c>
      <c r="K109" s="5">
        <v>0</v>
      </c>
      <c r="L109" s="6">
        <f t="shared" si="18"/>
        <v>200000</v>
      </c>
    </row>
    <row r="110" spans="1:12" x14ac:dyDescent="0.45">
      <c r="A110" s="10">
        <f t="shared" si="14"/>
        <v>109</v>
      </c>
      <c r="B110" s="5" t="s">
        <v>178</v>
      </c>
      <c r="C110" s="5" t="s">
        <v>22</v>
      </c>
      <c r="D110" s="5">
        <f t="shared" si="15"/>
        <v>0</v>
      </c>
      <c r="E110" s="5">
        <v>0</v>
      </c>
      <c r="F110" s="5">
        <f t="shared" si="16"/>
        <v>0</v>
      </c>
      <c r="G110" s="5">
        <v>0</v>
      </c>
      <c r="H110" s="15">
        <f t="shared" si="13"/>
        <v>0</v>
      </c>
      <c r="I110" s="5">
        <v>0</v>
      </c>
      <c r="J110" s="5">
        <f t="shared" si="17"/>
        <v>0</v>
      </c>
      <c r="K110" s="5">
        <v>0</v>
      </c>
      <c r="L110" s="6">
        <f t="shared" si="18"/>
        <v>200000</v>
      </c>
    </row>
    <row r="111" spans="1:12" x14ac:dyDescent="0.45">
      <c r="A111" s="10">
        <f t="shared" si="14"/>
        <v>110</v>
      </c>
      <c r="B111" s="5" t="s">
        <v>179</v>
      </c>
      <c r="C111" s="5" t="s">
        <v>22</v>
      </c>
      <c r="D111" s="5">
        <f t="shared" si="15"/>
        <v>0</v>
      </c>
      <c r="E111" s="5">
        <v>0</v>
      </c>
      <c r="F111" s="5">
        <f t="shared" si="16"/>
        <v>0</v>
      </c>
      <c r="G111" s="5">
        <v>0</v>
      </c>
      <c r="H111" s="15">
        <f t="shared" si="13"/>
        <v>0</v>
      </c>
      <c r="I111" s="5">
        <v>0</v>
      </c>
      <c r="J111" s="5">
        <f t="shared" si="17"/>
        <v>0</v>
      </c>
      <c r="K111" s="5">
        <v>0</v>
      </c>
      <c r="L111" s="6">
        <f t="shared" si="18"/>
        <v>200000</v>
      </c>
    </row>
    <row r="112" spans="1:12" x14ac:dyDescent="0.45">
      <c r="A112" s="10">
        <f t="shared" si="14"/>
        <v>111</v>
      </c>
      <c r="B112" s="5" t="s">
        <v>180</v>
      </c>
      <c r="C112" s="5" t="s">
        <v>22</v>
      </c>
      <c r="D112" s="5">
        <f t="shared" si="15"/>
        <v>40000</v>
      </c>
      <c r="E112" s="5">
        <v>2</v>
      </c>
      <c r="F112" s="5">
        <f t="shared" si="16"/>
        <v>240000</v>
      </c>
      <c r="G112" s="5">
        <v>3</v>
      </c>
      <c r="H112" s="15">
        <f t="shared" si="13"/>
        <v>0</v>
      </c>
      <c r="I112" s="5">
        <v>0</v>
      </c>
      <c r="J112" s="5">
        <f t="shared" si="17"/>
        <v>0</v>
      </c>
      <c r="K112" s="5">
        <v>0</v>
      </c>
      <c r="L112" s="6">
        <f t="shared" si="18"/>
        <v>-80000</v>
      </c>
    </row>
    <row r="113" spans="1:12" x14ac:dyDescent="0.45">
      <c r="A113" s="10">
        <f t="shared" si="14"/>
        <v>112</v>
      </c>
      <c r="B113" s="5" t="s">
        <v>181</v>
      </c>
      <c r="C113" s="5" t="s">
        <v>22</v>
      </c>
      <c r="D113" s="5">
        <f t="shared" si="15"/>
        <v>0</v>
      </c>
      <c r="E113" s="5">
        <v>0</v>
      </c>
      <c r="F113" s="5">
        <f t="shared" si="16"/>
        <v>0</v>
      </c>
      <c r="G113" s="5">
        <v>0</v>
      </c>
      <c r="H113" s="15">
        <f t="shared" si="13"/>
        <v>0</v>
      </c>
      <c r="I113" s="5">
        <v>0</v>
      </c>
      <c r="J113" s="5">
        <f t="shared" si="17"/>
        <v>0</v>
      </c>
      <c r="K113" s="5">
        <v>0</v>
      </c>
      <c r="L113" s="6">
        <f t="shared" si="18"/>
        <v>200000</v>
      </c>
    </row>
    <row r="114" spans="1:12" x14ac:dyDescent="0.45">
      <c r="A114" s="10">
        <f t="shared" si="14"/>
        <v>113</v>
      </c>
      <c r="B114" s="5" t="s">
        <v>182</v>
      </c>
      <c r="C114" s="5" t="s">
        <v>22</v>
      </c>
      <c r="D114" s="5">
        <f t="shared" si="15"/>
        <v>0</v>
      </c>
      <c r="E114" s="5">
        <v>0</v>
      </c>
      <c r="F114" s="5">
        <f t="shared" si="16"/>
        <v>80000</v>
      </c>
      <c r="G114" s="5">
        <v>1</v>
      </c>
      <c r="H114" s="15">
        <f t="shared" si="13"/>
        <v>0</v>
      </c>
      <c r="I114" s="5">
        <v>0</v>
      </c>
      <c r="J114" s="5">
        <f t="shared" si="17"/>
        <v>0</v>
      </c>
      <c r="K114" s="5">
        <v>0</v>
      </c>
      <c r="L114" s="6">
        <f t="shared" si="18"/>
        <v>120000</v>
      </c>
    </row>
    <row r="115" spans="1:12" x14ac:dyDescent="0.45">
      <c r="A115" s="10">
        <f t="shared" si="14"/>
        <v>114</v>
      </c>
      <c r="B115" s="5" t="s">
        <v>183</v>
      </c>
      <c r="C115" s="5" t="s">
        <v>22</v>
      </c>
      <c r="D115" s="5">
        <f t="shared" si="15"/>
        <v>0</v>
      </c>
      <c r="E115" s="5">
        <v>0</v>
      </c>
      <c r="F115" s="5">
        <f t="shared" si="16"/>
        <v>80000</v>
      </c>
      <c r="G115" s="5">
        <v>1</v>
      </c>
      <c r="H115" s="15">
        <f t="shared" si="13"/>
        <v>0</v>
      </c>
      <c r="I115" s="5">
        <v>0</v>
      </c>
      <c r="J115" s="5">
        <f t="shared" si="17"/>
        <v>0</v>
      </c>
      <c r="K115" s="5">
        <v>0</v>
      </c>
      <c r="L115" s="6">
        <f t="shared" si="18"/>
        <v>120000</v>
      </c>
    </row>
    <row r="116" spans="1:12" x14ac:dyDescent="0.45">
      <c r="A116" s="10">
        <f t="shared" si="14"/>
        <v>115</v>
      </c>
      <c r="B116" s="5" t="s">
        <v>184</v>
      </c>
      <c r="C116" s="5" t="s">
        <v>22</v>
      </c>
      <c r="D116" s="5">
        <f t="shared" si="15"/>
        <v>0</v>
      </c>
      <c r="E116" s="5">
        <v>0</v>
      </c>
      <c r="F116" s="5">
        <f t="shared" si="16"/>
        <v>0</v>
      </c>
      <c r="G116" s="5">
        <v>0</v>
      </c>
      <c r="H116" s="15">
        <f t="shared" si="13"/>
        <v>0</v>
      </c>
      <c r="I116" s="5">
        <v>0</v>
      </c>
      <c r="J116" s="5">
        <f t="shared" si="17"/>
        <v>0</v>
      </c>
      <c r="K116" s="5">
        <v>0</v>
      </c>
      <c r="L116" s="6">
        <f t="shared" si="18"/>
        <v>200000</v>
      </c>
    </row>
    <row r="117" spans="1:12" x14ac:dyDescent="0.45">
      <c r="A117" s="10">
        <f t="shared" si="14"/>
        <v>116</v>
      </c>
      <c r="B117" s="5" t="s">
        <v>185</v>
      </c>
      <c r="C117" s="5" t="s">
        <v>22</v>
      </c>
      <c r="D117" s="5">
        <f t="shared" si="15"/>
        <v>0</v>
      </c>
      <c r="E117" s="5">
        <v>0</v>
      </c>
      <c r="F117" s="5">
        <f t="shared" si="16"/>
        <v>0</v>
      </c>
      <c r="G117" s="5">
        <v>0</v>
      </c>
      <c r="H117" s="15">
        <f t="shared" si="13"/>
        <v>0</v>
      </c>
      <c r="I117" s="5">
        <v>0</v>
      </c>
      <c r="J117" s="5">
        <f t="shared" si="17"/>
        <v>20000</v>
      </c>
      <c r="K117" s="5">
        <v>1</v>
      </c>
      <c r="L117" s="6">
        <f t="shared" si="18"/>
        <v>180000</v>
      </c>
    </row>
    <row r="118" spans="1:12" x14ac:dyDescent="0.45">
      <c r="A118" s="10">
        <f t="shared" si="14"/>
        <v>117</v>
      </c>
      <c r="B118" s="5" t="s">
        <v>186</v>
      </c>
      <c r="C118" s="5" t="s">
        <v>22</v>
      </c>
      <c r="D118" s="5">
        <f t="shared" si="15"/>
        <v>0</v>
      </c>
      <c r="E118" s="5">
        <v>0</v>
      </c>
      <c r="F118" s="5">
        <f t="shared" si="16"/>
        <v>80000</v>
      </c>
      <c r="G118" s="5">
        <v>1</v>
      </c>
      <c r="H118" s="15">
        <f t="shared" si="13"/>
        <v>0</v>
      </c>
      <c r="I118" s="5">
        <v>0</v>
      </c>
      <c r="J118" s="5">
        <f t="shared" si="17"/>
        <v>0</v>
      </c>
      <c r="K118" s="5">
        <v>0</v>
      </c>
      <c r="L118" s="6">
        <f t="shared" si="18"/>
        <v>120000</v>
      </c>
    </row>
    <row r="119" spans="1:12" x14ac:dyDescent="0.45">
      <c r="A119" s="10">
        <f t="shared" si="14"/>
        <v>118</v>
      </c>
      <c r="B119" s="5" t="s">
        <v>187</v>
      </c>
      <c r="C119" s="5" t="s">
        <v>22</v>
      </c>
      <c r="D119" s="5">
        <f t="shared" si="15"/>
        <v>20000</v>
      </c>
      <c r="E119" s="5">
        <v>1</v>
      </c>
      <c r="F119" s="5">
        <f t="shared" si="16"/>
        <v>0</v>
      </c>
      <c r="G119" s="5">
        <v>0</v>
      </c>
      <c r="H119" s="15">
        <f t="shared" si="13"/>
        <v>0</v>
      </c>
      <c r="I119" s="5">
        <v>0</v>
      </c>
      <c r="J119" s="5">
        <f t="shared" si="17"/>
        <v>0</v>
      </c>
      <c r="K119" s="5">
        <v>0</v>
      </c>
      <c r="L119" s="6">
        <f t="shared" si="18"/>
        <v>180000</v>
      </c>
    </row>
    <row r="120" spans="1:12" x14ac:dyDescent="0.45">
      <c r="A120" s="10">
        <f>ROW(A120)-1</f>
        <v>119</v>
      </c>
      <c r="B120" s="5" t="s">
        <v>188</v>
      </c>
      <c r="C120" s="5" t="s">
        <v>22</v>
      </c>
      <c r="D120" s="5">
        <f>E120*20000</f>
        <v>0</v>
      </c>
      <c r="E120" s="5">
        <v>0</v>
      </c>
      <c r="F120" s="5">
        <f>G120*40000*2</f>
        <v>80000</v>
      </c>
      <c r="G120" s="5">
        <v>1</v>
      </c>
      <c r="H120" s="15">
        <f t="shared" si="13"/>
        <v>0</v>
      </c>
      <c r="I120" s="5">
        <v>0</v>
      </c>
      <c r="J120" s="5">
        <f>K120*20000</f>
        <v>0</v>
      </c>
      <c r="K120" s="5">
        <v>0</v>
      </c>
      <c r="L120" s="6">
        <f>200000-H120-F120-D120-J120</f>
        <v>120000</v>
      </c>
    </row>
    <row r="121" spans="1:12" x14ac:dyDescent="0.45">
      <c r="A121" s="10">
        <f t="shared" ref="A121:A148" si="19">ROW(A121)-1</f>
        <v>120</v>
      </c>
      <c r="B121" s="5" t="s">
        <v>189</v>
      </c>
      <c r="C121" s="5" t="s">
        <v>22</v>
      </c>
      <c r="D121" s="5">
        <f t="shared" ref="D121:D148" si="20">E121*20000</f>
        <v>0</v>
      </c>
      <c r="E121" s="5">
        <v>0</v>
      </c>
      <c r="F121" s="5">
        <f t="shared" ref="F121:F148" si="21">G121*40000*2</f>
        <v>0</v>
      </c>
      <c r="G121" s="5">
        <v>0</v>
      </c>
      <c r="H121" s="15">
        <f t="shared" si="13"/>
        <v>0</v>
      </c>
      <c r="I121" s="5">
        <v>0</v>
      </c>
      <c r="J121" s="5">
        <f t="shared" ref="J121:J148" si="22">K121*20000</f>
        <v>0</v>
      </c>
      <c r="K121" s="5">
        <v>0</v>
      </c>
      <c r="L121" s="6">
        <f t="shared" ref="L121:L148" si="23">200000-H121-F121-D121-J121</f>
        <v>200000</v>
      </c>
    </row>
    <row r="122" spans="1:12" x14ac:dyDescent="0.45">
      <c r="A122" s="10">
        <f t="shared" si="19"/>
        <v>121</v>
      </c>
      <c r="B122" s="5" t="s">
        <v>190</v>
      </c>
      <c r="C122" s="5" t="s">
        <v>22</v>
      </c>
      <c r="D122" s="5">
        <f t="shared" si="20"/>
        <v>0</v>
      </c>
      <c r="E122" s="5">
        <v>0</v>
      </c>
      <c r="F122" s="5">
        <f t="shared" si="21"/>
        <v>80000</v>
      </c>
      <c r="G122" s="5">
        <v>1</v>
      </c>
      <c r="H122" s="15">
        <f t="shared" si="13"/>
        <v>0</v>
      </c>
      <c r="I122" s="5">
        <v>0</v>
      </c>
      <c r="J122" s="5">
        <f t="shared" si="22"/>
        <v>0</v>
      </c>
      <c r="K122" s="5">
        <v>0</v>
      </c>
      <c r="L122" s="6">
        <f t="shared" si="23"/>
        <v>120000</v>
      </c>
    </row>
    <row r="123" spans="1:12" x14ac:dyDescent="0.45">
      <c r="A123" s="10">
        <f t="shared" si="19"/>
        <v>122</v>
      </c>
      <c r="B123" s="5" t="s">
        <v>191</v>
      </c>
      <c r="C123" s="5" t="s">
        <v>22</v>
      </c>
      <c r="D123" s="5">
        <f t="shared" si="20"/>
        <v>0</v>
      </c>
      <c r="E123" s="5">
        <v>0</v>
      </c>
      <c r="F123" s="5">
        <f t="shared" si="21"/>
        <v>0</v>
      </c>
      <c r="G123" s="5">
        <v>0</v>
      </c>
      <c r="H123" s="15">
        <f t="shared" si="13"/>
        <v>0</v>
      </c>
      <c r="I123" s="5">
        <v>0</v>
      </c>
      <c r="J123" s="5">
        <f t="shared" si="22"/>
        <v>0</v>
      </c>
      <c r="K123" s="5">
        <v>0</v>
      </c>
      <c r="L123" s="6">
        <f t="shared" si="23"/>
        <v>200000</v>
      </c>
    </row>
    <row r="124" spans="1:12" x14ac:dyDescent="0.45">
      <c r="A124" s="10">
        <f t="shared" si="19"/>
        <v>123</v>
      </c>
      <c r="B124" s="5" t="s">
        <v>192</v>
      </c>
      <c r="C124" s="5" t="s">
        <v>22</v>
      </c>
      <c r="D124" s="5">
        <f t="shared" si="20"/>
        <v>0</v>
      </c>
      <c r="E124" s="5">
        <v>0</v>
      </c>
      <c r="F124" s="5">
        <f t="shared" si="21"/>
        <v>0</v>
      </c>
      <c r="G124" s="5">
        <v>0</v>
      </c>
      <c r="H124" s="15">
        <f t="shared" si="13"/>
        <v>0</v>
      </c>
      <c r="I124" s="5">
        <v>0</v>
      </c>
      <c r="J124" s="5">
        <f t="shared" si="22"/>
        <v>0</v>
      </c>
      <c r="K124" s="5">
        <v>0</v>
      </c>
      <c r="L124" s="6">
        <f t="shared" si="23"/>
        <v>200000</v>
      </c>
    </row>
    <row r="125" spans="1:12" x14ac:dyDescent="0.45">
      <c r="A125" s="10">
        <f t="shared" si="19"/>
        <v>124</v>
      </c>
      <c r="B125" s="5" t="s">
        <v>193</v>
      </c>
      <c r="C125" s="5" t="s">
        <v>22</v>
      </c>
      <c r="D125" s="5">
        <f t="shared" si="20"/>
        <v>0</v>
      </c>
      <c r="E125" s="5">
        <v>0</v>
      </c>
      <c r="F125" s="5">
        <f t="shared" si="21"/>
        <v>80000</v>
      </c>
      <c r="G125" s="5">
        <v>1</v>
      </c>
      <c r="H125" s="15">
        <f t="shared" si="13"/>
        <v>0</v>
      </c>
      <c r="I125" s="5">
        <v>0</v>
      </c>
      <c r="J125" s="5">
        <f t="shared" si="22"/>
        <v>0</v>
      </c>
      <c r="K125" s="5">
        <v>0</v>
      </c>
      <c r="L125" s="6">
        <f t="shared" si="23"/>
        <v>120000</v>
      </c>
    </row>
    <row r="126" spans="1:12" x14ac:dyDescent="0.45">
      <c r="A126" s="10">
        <f t="shared" si="19"/>
        <v>125</v>
      </c>
      <c r="B126" s="5" t="s">
        <v>194</v>
      </c>
      <c r="C126" s="5" t="s">
        <v>22</v>
      </c>
      <c r="D126" s="5">
        <f t="shared" si="20"/>
        <v>0</v>
      </c>
      <c r="E126" s="5">
        <v>0</v>
      </c>
      <c r="F126" s="5">
        <f t="shared" si="21"/>
        <v>80000</v>
      </c>
      <c r="G126" s="5">
        <v>1</v>
      </c>
      <c r="H126" s="15">
        <f t="shared" si="13"/>
        <v>0</v>
      </c>
      <c r="I126" s="5">
        <v>0</v>
      </c>
      <c r="J126" s="5">
        <f t="shared" si="22"/>
        <v>0</v>
      </c>
      <c r="K126" s="5">
        <v>0</v>
      </c>
      <c r="L126" s="6">
        <f t="shared" si="23"/>
        <v>120000</v>
      </c>
    </row>
    <row r="127" spans="1:12" x14ac:dyDescent="0.45">
      <c r="A127" s="10">
        <f t="shared" si="19"/>
        <v>126</v>
      </c>
      <c r="B127" s="5" t="s">
        <v>195</v>
      </c>
      <c r="C127" s="5" t="s">
        <v>22</v>
      </c>
      <c r="D127" s="5">
        <f t="shared" si="20"/>
        <v>20000</v>
      </c>
      <c r="E127" s="5">
        <v>1</v>
      </c>
      <c r="F127" s="5">
        <f t="shared" si="21"/>
        <v>0</v>
      </c>
      <c r="G127" s="5">
        <v>0</v>
      </c>
      <c r="H127" s="15">
        <f t="shared" si="13"/>
        <v>0</v>
      </c>
      <c r="I127" s="5">
        <v>0</v>
      </c>
      <c r="J127" s="5">
        <f t="shared" si="22"/>
        <v>0</v>
      </c>
      <c r="K127" s="5">
        <v>0</v>
      </c>
      <c r="L127" s="6">
        <f t="shared" si="23"/>
        <v>180000</v>
      </c>
    </row>
    <row r="128" spans="1:12" x14ac:dyDescent="0.45">
      <c r="A128" s="10">
        <f t="shared" si="19"/>
        <v>127</v>
      </c>
      <c r="B128" s="5" t="s">
        <v>196</v>
      </c>
      <c r="C128" s="5" t="s">
        <v>22</v>
      </c>
      <c r="D128" s="5">
        <f t="shared" si="20"/>
        <v>0</v>
      </c>
      <c r="E128" s="5">
        <v>0</v>
      </c>
      <c r="F128" s="5">
        <f t="shared" si="21"/>
        <v>0</v>
      </c>
      <c r="G128" s="5">
        <v>0</v>
      </c>
      <c r="H128" s="15">
        <f t="shared" si="13"/>
        <v>0</v>
      </c>
      <c r="I128" s="5">
        <v>0</v>
      </c>
      <c r="J128" s="5">
        <f t="shared" si="22"/>
        <v>0</v>
      </c>
      <c r="K128" s="5">
        <v>0</v>
      </c>
      <c r="L128" s="6">
        <f t="shared" si="23"/>
        <v>200000</v>
      </c>
    </row>
    <row r="129" spans="1:12" x14ac:dyDescent="0.45">
      <c r="A129" s="10">
        <f t="shared" si="19"/>
        <v>128</v>
      </c>
      <c r="B129" s="5" t="s">
        <v>197</v>
      </c>
      <c r="C129" s="5" t="s">
        <v>22</v>
      </c>
      <c r="D129" s="5">
        <f t="shared" si="20"/>
        <v>0</v>
      </c>
      <c r="E129" s="5">
        <v>0</v>
      </c>
      <c r="F129" s="5">
        <f t="shared" si="21"/>
        <v>0</v>
      </c>
      <c r="G129" s="5">
        <v>0</v>
      </c>
      <c r="H129" s="15">
        <f t="shared" si="13"/>
        <v>0</v>
      </c>
      <c r="I129" s="5">
        <v>0</v>
      </c>
      <c r="J129" s="5">
        <f t="shared" si="22"/>
        <v>0</v>
      </c>
      <c r="K129" s="5">
        <v>0</v>
      </c>
      <c r="L129" s="6">
        <f t="shared" si="23"/>
        <v>200000</v>
      </c>
    </row>
    <row r="130" spans="1:12" x14ac:dyDescent="0.45">
      <c r="A130" s="10">
        <f t="shared" si="19"/>
        <v>129</v>
      </c>
      <c r="B130" s="5" t="s">
        <v>198</v>
      </c>
      <c r="C130" s="5" t="s">
        <v>22</v>
      </c>
      <c r="D130" s="5">
        <f t="shared" si="20"/>
        <v>0</v>
      </c>
      <c r="E130" s="5">
        <v>0</v>
      </c>
      <c r="F130" s="5">
        <f t="shared" si="21"/>
        <v>0</v>
      </c>
      <c r="G130" s="5">
        <v>0</v>
      </c>
      <c r="H130" s="15">
        <f t="shared" si="13"/>
        <v>0</v>
      </c>
      <c r="I130" s="5">
        <v>0</v>
      </c>
      <c r="J130" s="5">
        <f t="shared" si="22"/>
        <v>0</v>
      </c>
      <c r="K130" s="5">
        <v>0</v>
      </c>
      <c r="L130" s="6">
        <f t="shared" si="23"/>
        <v>200000</v>
      </c>
    </row>
    <row r="131" spans="1:12" x14ac:dyDescent="0.45">
      <c r="A131" s="10">
        <f t="shared" si="19"/>
        <v>130</v>
      </c>
      <c r="B131" s="5" t="s">
        <v>199</v>
      </c>
      <c r="C131" s="5" t="s">
        <v>22</v>
      </c>
      <c r="D131" s="5">
        <f t="shared" si="20"/>
        <v>0</v>
      </c>
      <c r="E131" s="5">
        <v>0</v>
      </c>
      <c r="F131" s="5">
        <f t="shared" si="21"/>
        <v>0</v>
      </c>
      <c r="G131" s="5">
        <v>0</v>
      </c>
      <c r="H131" s="15">
        <f t="shared" si="13"/>
        <v>0</v>
      </c>
      <c r="I131" s="5">
        <v>0</v>
      </c>
      <c r="J131" s="5">
        <f t="shared" si="22"/>
        <v>0</v>
      </c>
      <c r="K131" s="5">
        <v>0</v>
      </c>
      <c r="L131" s="6">
        <f t="shared" si="23"/>
        <v>200000</v>
      </c>
    </row>
    <row r="132" spans="1:12" x14ac:dyDescent="0.45">
      <c r="A132" s="10">
        <f t="shared" si="19"/>
        <v>131</v>
      </c>
      <c r="B132" s="5" t="s">
        <v>200</v>
      </c>
      <c r="C132" s="5" t="s">
        <v>22</v>
      </c>
      <c r="D132" s="5">
        <f t="shared" si="20"/>
        <v>0</v>
      </c>
      <c r="E132" s="5">
        <v>0</v>
      </c>
      <c r="F132" s="5">
        <f t="shared" si="21"/>
        <v>0</v>
      </c>
      <c r="G132" s="5">
        <v>0</v>
      </c>
      <c r="H132" s="15">
        <f t="shared" si="13"/>
        <v>0</v>
      </c>
      <c r="I132" s="5">
        <v>0</v>
      </c>
      <c r="J132" s="5">
        <f t="shared" si="22"/>
        <v>0</v>
      </c>
      <c r="K132" s="5">
        <v>0</v>
      </c>
      <c r="L132" s="6">
        <f t="shared" si="23"/>
        <v>200000</v>
      </c>
    </row>
    <row r="133" spans="1:12" x14ac:dyDescent="0.45">
      <c r="A133" s="10">
        <f t="shared" si="19"/>
        <v>132</v>
      </c>
      <c r="B133" s="5" t="s">
        <v>201</v>
      </c>
      <c r="C133" s="5" t="s">
        <v>22</v>
      </c>
      <c r="D133" s="5">
        <f t="shared" si="20"/>
        <v>40000</v>
      </c>
      <c r="E133" s="5">
        <v>2</v>
      </c>
      <c r="F133" s="5">
        <f t="shared" si="21"/>
        <v>80000</v>
      </c>
      <c r="G133" s="5">
        <v>1</v>
      </c>
      <c r="H133" s="15">
        <f t="shared" si="13"/>
        <v>0</v>
      </c>
      <c r="I133" s="5">
        <v>0</v>
      </c>
      <c r="J133" s="5">
        <f t="shared" si="22"/>
        <v>0</v>
      </c>
      <c r="K133" s="5">
        <v>0</v>
      </c>
      <c r="L133" s="6">
        <f t="shared" si="23"/>
        <v>80000</v>
      </c>
    </row>
    <row r="134" spans="1:12" x14ac:dyDescent="0.45">
      <c r="A134" s="10">
        <f t="shared" si="19"/>
        <v>133</v>
      </c>
      <c r="B134" s="5" t="s">
        <v>202</v>
      </c>
      <c r="C134" s="5" t="s">
        <v>22</v>
      </c>
      <c r="D134" s="5">
        <f t="shared" si="20"/>
        <v>0</v>
      </c>
      <c r="E134" s="5">
        <v>0</v>
      </c>
      <c r="F134" s="5">
        <f t="shared" si="21"/>
        <v>0</v>
      </c>
      <c r="G134" s="5">
        <v>0</v>
      </c>
      <c r="H134" s="15">
        <f t="shared" si="13"/>
        <v>0</v>
      </c>
      <c r="I134" s="5">
        <v>0</v>
      </c>
      <c r="J134" s="5">
        <f t="shared" si="22"/>
        <v>0</v>
      </c>
      <c r="K134" s="5">
        <v>0</v>
      </c>
      <c r="L134" s="6">
        <f t="shared" si="23"/>
        <v>200000</v>
      </c>
    </row>
    <row r="135" spans="1:12" x14ac:dyDescent="0.45">
      <c r="A135" s="10">
        <f t="shared" si="19"/>
        <v>134</v>
      </c>
      <c r="B135" s="5" t="s">
        <v>203</v>
      </c>
      <c r="C135" s="5" t="s">
        <v>22</v>
      </c>
      <c r="D135" s="5">
        <f t="shared" si="20"/>
        <v>0</v>
      </c>
      <c r="E135" s="5">
        <v>0</v>
      </c>
      <c r="F135" s="5">
        <f t="shared" si="21"/>
        <v>0</v>
      </c>
      <c r="G135" s="5">
        <v>0</v>
      </c>
      <c r="H135" s="15">
        <f t="shared" si="13"/>
        <v>0</v>
      </c>
      <c r="I135" s="5">
        <v>0</v>
      </c>
      <c r="J135" s="5">
        <f t="shared" si="22"/>
        <v>0</v>
      </c>
      <c r="K135" s="5">
        <v>0</v>
      </c>
      <c r="L135" s="6">
        <f t="shared" si="23"/>
        <v>200000</v>
      </c>
    </row>
    <row r="136" spans="1:12" x14ac:dyDescent="0.45">
      <c r="A136" s="10">
        <f t="shared" si="19"/>
        <v>135</v>
      </c>
      <c r="B136" s="5" t="s">
        <v>204</v>
      </c>
      <c r="C136" s="5" t="s">
        <v>22</v>
      </c>
      <c r="D136" s="5">
        <f t="shared" si="20"/>
        <v>0</v>
      </c>
      <c r="E136" s="5">
        <v>0</v>
      </c>
      <c r="F136" s="5">
        <f t="shared" si="21"/>
        <v>0</v>
      </c>
      <c r="G136" s="5">
        <v>0</v>
      </c>
      <c r="H136" s="15">
        <f t="shared" si="13"/>
        <v>0</v>
      </c>
      <c r="I136" s="5">
        <v>0</v>
      </c>
      <c r="J136" s="5">
        <f t="shared" si="22"/>
        <v>0</v>
      </c>
      <c r="K136" s="5">
        <v>0</v>
      </c>
      <c r="L136" s="6">
        <f t="shared" si="23"/>
        <v>200000</v>
      </c>
    </row>
    <row r="137" spans="1:12" x14ac:dyDescent="0.45">
      <c r="A137" s="10">
        <f t="shared" si="19"/>
        <v>136</v>
      </c>
      <c r="B137" s="5" t="s">
        <v>205</v>
      </c>
      <c r="C137" s="5" t="s">
        <v>22</v>
      </c>
      <c r="D137" s="5">
        <f t="shared" si="20"/>
        <v>0</v>
      </c>
      <c r="E137" s="5">
        <v>0</v>
      </c>
      <c r="F137" s="5">
        <f t="shared" si="21"/>
        <v>0</v>
      </c>
      <c r="G137" s="5">
        <v>0</v>
      </c>
      <c r="H137" s="15">
        <f t="shared" si="13"/>
        <v>0</v>
      </c>
      <c r="I137" s="5">
        <v>0</v>
      </c>
      <c r="J137" s="5">
        <f t="shared" si="22"/>
        <v>0</v>
      </c>
      <c r="K137" s="5">
        <v>0</v>
      </c>
      <c r="L137" s="6">
        <f t="shared" si="23"/>
        <v>200000</v>
      </c>
    </row>
    <row r="138" spans="1:12" x14ac:dyDescent="0.45">
      <c r="A138" s="10">
        <f t="shared" si="19"/>
        <v>137</v>
      </c>
      <c r="B138" s="5" t="s">
        <v>206</v>
      </c>
      <c r="C138" s="5" t="s">
        <v>22</v>
      </c>
      <c r="D138" s="5">
        <f t="shared" si="20"/>
        <v>0</v>
      </c>
      <c r="E138" s="5">
        <v>0</v>
      </c>
      <c r="F138" s="5">
        <f t="shared" si="21"/>
        <v>80000</v>
      </c>
      <c r="G138" s="5">
        <v>1</v>
      </c>
      <c r="H138" s="15">
        <f t="shared" si="13"/>
        <v>0</v>
      </c>
      <c r="I138" s="5">
        <v>0</v>
      </c>
      <c r="J138" s="5">
        <f t="shared" si="22"/>
        <v>0</v>
      </c>
      <c r="K138" s="5">
        <v>0</v>
      </c>
      <c r="L138" s="6">
        <f t="shared" si="23"/>
        <v>120000</v>
      </c>
    </row>
    <row r="139" spans="1:12" x14ac:dyDescent="0.45">
      <c r="A139" s="10">
        <f t="shared" si="19"/>
        <v>138</v>
      </c>
      <c r="B139" s="5" t="s">
        <v>207</v>
      </c>
      <c r="C139" s="5" t="s">
        <v>22</v>
      </c>
      <c r="D139" s="5">
        <f t="shared" si="20"/>
        <v>0</v>
      </c>
      <c r="E139" s="5">
        <v>0</v>
      </c>
      <c r="F139" s="5">
        <f t="shared" si="21"/>
        <v>0</v>
      </c>
      <c r="G139" s="5">
        <v>0</v>
      </c>
      <c r="H139" s="15">
        <f t="shared" si="13"/>
        <v>0</v>
      </c>
      <c r="I139" s="5">
        <v>0</v>
      </c>
      <c r="J139" s="5">
        <f t="shared" si="22"/>
        <v>0</v>
      </c>
      <c r="K139" s="5">
        <v>0</v>
      </c>
      <c r="L139" s="6">
        <f t="shared" si="23"/>
        <v>200000</v>
      </c>
    </row>
    <row r="140" spans="1:12" x14ac:dyDescent="0.45">
      <c r="A140" s="10">
        <f t="shared" si="19"/>
        <v>139</v>
      </c>
      <c r="B140" s="5" t="s">
        <v>208</v>
      </c>
      <c r="C140" s="5" t="s">
        <v>22</v>
      </c>
      <c r="D140" s="5">
        <f t="shared" si="20"/>
        <v>0</v>
      </c>
      <c r="E140" s="5">
        <v>0</v>
      </c>
      <c r="F140" s="5">
        <f t="shared" si="21"/>
        <v>0</v>
      </c>
      <c r="G140" s="5">
        <v>0</v>
      </c>
      <c r="H140" s="15">
        <f t="shared" si="13"/>
        <v>0</v>
      </c>
      <c r="I140" s="5">
        <v>0</v>
      </c>
      <c r="J140" s="5">
        <f t="shared" si="22"/>
        <v>0</v>
      </c>
      <c r="K140" s="5">
        <v>0</v>
      </c>
      <c r="L140" s="6">
        <f t="shared" si="23"/>
        <v>200000</v>
      </c>
    </row>
    <row r="141" spans="1:12" x14ac:dyDescent="0.45">
      <c r="A141" s="10">
        <f t="shared" si="19"/>
        <v>140</v>
      </c>
      <c r="B141" s="5" t="s">
        <v>209</v>
      </c>
      <c r="C141" s="5" t="s">
        <v>22</v>
      </c>
      <c r="D141" s="5">
        <f t="shared" si="20"/>
        <v>0</v>
      </c>
      <c r="E141" s="5">
        <v>0</v>
      </c>
      <c r="F141" s="5">
        <f t="shared" si="21"/>
        <v>160000</v>
      </c>
      <c r="G141" s="5">
        <v>2</v>
      </c>
      <c r="H141" s="15">
        <f t="shared" si="13"/>
        <v>0</v>
      </c>
      <c r="I141" s="5">
        <v>0</v>
      </c>
      <c r="J141" s="5">
        <f t="shared" si="22"/>
        <v>20000</v>
      </c>
      <c r="K141" s="5">
        <v>1</v>
      </c>
      <c r="L141" s="6">
        <f t="shared" si="23"/>
        <v>20000</v>
      </c>
    </row>
    <row r="142" spans="1:12" x14ac:dyDescent="0.45">
      <c r="A142" s="10">
        <f t="shared" si="19"/>
        <v>141</v>
      </c>
      <c r="B142" s="5" t="s">
        <v>210</v>
      </c>
      <c r="C142" s="5" t="s">
        <v>22</v>
      </c>
      <c r="D142" s="5">
        <f t="shared" si="20"/>
        <v>0</v>
      </c>
      <c r="E142" s="5">
        <v>0</v>
      </c>
      <c r="F142" s="5">
        <f t="shared" si="21"/>
        <v>0</v>
      </c>
      <c r="G142" s="5">
        <v>0</v>
      </c>
      <c r="H142" s="15">
        <f t="shared" si="13"/>
        <v>0</v>
      </c>
      <c r="I142" s="5">
        <v>0</v>
      </c>
      <c r="J142" s="5">
        <f t="shared" si="22"/>
        <v>0</v>
      </c>
      <c r="K142" s="5">
        <v>0</v>
      </c>
      <c r="L142" s="6">
        <f t="shared" si="23"/>
        <v>200000</v>
      </c>
    </row>
    <row r="143" spans="1:12" x14ac:dyDescent="0.45">
      <c r="A143" s="10">
        <f t="shared" si="19"/>
        <v>142</v>
      </c>
      <c r="B143" s="5" t="s">
        <v>211</v>
      </c>
      <c r="C143" s="5" t="s">
        <v>22</v>
      </c>
      <c r="D143" s="5">
        <f t="shared" si="20"/>
        <v>0</v>
      </c>
      <c r="E143" s="5">
        <v>0</v>
      </c>
      <c r="F143" s="5">
        <f t="shared" si="21"/>
        <v>0</v>
      </c>
      <c r="G143" s="5">
        <v>0</v>
      </c>
      <c r="H143" s="15">
        <f t="shared" si="13"/>
        <v>0</v>
      </c>
      <c r="I143" s="5">
        <v>0</v>
      </c>
      <c r="J143" s="5">
        <f t="shared" si="22"/>
        <v>20000</v>
      </c>
      <c r="K143" s="5">
        <v>1</v>
      </c>
      <c r="L143" s="6">
        <f t="shared" si="23"/>
        <v>180000</v>
      </c>
    </row>
    <row r="144" spans="1:12" x14ac:dyDescent="0.45">
      <c r="A144" s="10">
        <f t="shared" si="19"/>
        <v>143</v>
      </c>
      <c r="B144" s="5" t="s">
        <v>212</v>
      </c>
      <c r="C144" s="5" t="s">
        <v>22</v>
      </c>
      <c r="D144" s="5">
        <f t="shared" si="20"/>
        <v>0</v>
      </c>
      <c r="E144" s="5">
        <v>0</v>
      </c>
      <c r="F144" s="5">
        <f t="shared" si="21"/>
        <v>0</v>
      </c>
      <c r="G144" s="5">
        <v>0</v>
      </c>
      <c r="H144" s="15">
        <f t="shared" si="13"/>
        <v>0</v>
      </c>
      <c r="I144" s="5">
        <v>0</v>
      </c>
      <c r="J144" s="5">
        <f t="shared" si="22"/>
        <v>0</v>
      </c>
      <c r="K144" s="5">
        <v>0</v>
      </c>
      <c r="L144" s="6">
        <f t="shared" si="23"/>
        <v>200000</v>
      </c>
    </row>
    <row r="145" spans="1:12" x14ac:dyDescent="0.45">
      <c r="A145" s="10">
        <f t="shared" si="19"/>
        <v>144</v>
      </c>
      <c r="B145" s="5" t="s">
        <v>213</v>
      </c>
      <c r="C145" s="5" t="s">
        <v>22</v>
      </c>
      <c r="D145" s="5">
        <f t="shared" si="20"/>
        <v>0</v>
      </c>
      <c r="E145" s="5">
        <v>0</v>
      </c>
      <c r="F145" s="5">
        <f t="shared" si="21"/>
        <v>0</v>
      </c>
      <c r="G145" s="5">
        <v>0</v>
      </c>
      <c r="H145" s="15">
        <f t="shared" si="13"/>
        <v>0</v>
      </c>
      <c r="I145" s="5">
        <v>0</v>
      </c>
      <c r="J145" s="5">
        <f t="shared" si="22"/>
        <v>20000</v>
      </c>
      <c r="K145" s="5">
        <v>1</v>
      </c>
      <c r="L145" s="6">
        <f t="shared" si="23"/>
        <v>180000</v>
      </c>
    </row>
    <row r="146" spans="1:12" x14ac:dyDescent="0.45">
      <c r="A146" s="10">
        <f t="shared" si="19"/>
        <v>145</v>
      </c>
      <c r="B146" s="5" t="s">
        <v>214</v>
      </c>
      <c r="C146" s="5" t="s">
        <v>22</v>
      </c>
      <c r="D146" s="5">
        <f t="shared" si="20"/>
        <v>0</v>
      </c>
      <c r="E146" s="5">
        <v>0</v>
      </c>
      <c r="F146" s="5">
        <f t="shared" si="21"/>
        <v>0</v>
      </c>
      <c r="G146" s="5">
        <v>0</v>
      </c>
      <c r="H146" s="15">
        <f t="shared" si="13"/>
        <v>0</v>
      </c>
      <c r="I146" s="5">
        <v>0</v>
      </c>
      <c r="J146" s="5">
        <f t="shared" si="22"/>
        <v>0</v>
      </c>
      <c r="K146" s="5">
        <v>0</v>
      </c>
      <c r="L146" s="6">
        <f t="shared" si="23"/>
        <v>200000</v>
      </c>
    </row>
    <row r="147" spans="1:12" x14ac:dyDescent="0.45">
      <c r="A147" s="10">
        <f t="shared" si="19"/>
        <v>146</v>
      </c>
      <c r="B147" s="5" t="s">
        <v>215</v>
      </c>
      <c r="C147" s="5" t="s">
        <v>22</v>
      </c>
      <c r="D147" s="5">
        <f t="shared" si="20"/>
        <v>0</v>
      </c>
      <c r="E147" s="5">
        <v>0</v>
      </c>
      <c r="F147" s="5">
        <f t="shared" si="21"/>
        <v>0</v>
      </c>
      <c r="G147" s="5">
        <v>0</v>
      </c>
      <c r="H147" s="15">
        <f t="shared" si="13"/>
        <v>0</v>
      </c>
      <c r="I147" s="5">
        <v>0</v>
      </c>
      <c r="J147" s="5">
        <f t="shared" si="22"/>
        <v>0</v>
      </c>
      <c r="K147" s="5">
        <v>0</v>
      </c>
      <c r="L147" s="6">
        <f t="shared" si="23"/>
        <v>200000</v>
      </c>
    </row>
    <row r="148" spans="1:12" x14ac:dyDescent="0.45">
      <c r="A148" s="10">
        <f t="shared" si="19"/>
        <v>147</v>
      </c>
      <c r="B148" s="5" t="s">
        <v>216</v>
      </c>
      <c r="C148" s="5" t="s">
        <v>22</v>
      </c>
      <c r="D148" s="5">
        <f t="shared" si="20"/>
        <v>0</v>
      </c>
      <c r="E148" s="5">
        <v>0</v>
      </c>
      <c r="F148" s="5">
        <f t="shared" si="21"/>
        <v>0</v>
      </c>
      <c r="G148" s="5">
        <v>0</v>
      </c>
      <c r="H148" s="15">
        <f t="shared" si="13"/>
        <v>0</v>
      </c>
      <c r="I148" s="5">
        <v>0</v>
      </c>
      <c r="J148" s="5">
        <f t="shared" si="22"/>
        <v>0</v>
      </c>
      <c r="K148" s="5">
        <v>0</v>
      </c>
      <c r="L148" s="6">
        <f t="shared" si="23"/>
        <v>200000</v>
      </c>
    </row>
    <row r="149" spans="1:12" x14ac:dyDescent="0.45">
      <c r="A149" s="10">
        <f>ROW(A149)-1</f>
        <v>148</v>
      </c>
      <c r="B149" s="5" t="s">
        <v>217</v>
      </c>
      <c r="C149" s="5" t="s">
        <v>22</v>
      </c>
      <c r="D149" s="5">
        <f>E149*20000</f>
        <v>0</v>
      </c>
      <c r="E149" s="5">
        <v>0</v>
      </c>
      <c r="F149" s="5">
        <f>G149*40000*2</f>
        <v>0</v>
      </c>
      <c r="G149" s="5">
        <v>0</v>
      </c>
      <c r="H149" s="15">
        <f t="shared" si="13"/>
        <v>0</v>
      </c>
      <c r="I149" s="5">
        <v>0</v>
      </c>
      <c r="J149" s="5">
        <f>K149*20000</f>
        <v>0</v>
      </c>
      <c r="K149" s="5">
        <v>0</v>
      </c>
      <c r="L149" s="6">
        <f>200000-H149-F149-D149-J149</f>
        <v>200000</v>
      </c>
    </row>
    <row r="150" spans="1:12" x14ac:dyDescent="0.45">
      <c r="A150" s="10">
        <f t="shared" ref="A150:A179" si="24">ROW(A150)-1</f>
        <v>149</v>
      </c>
      <c r="B150" s="5" t="s">
        <v>218</v>
      </c>
      <c r="C150" s="5" t="s">
        <v>22</v>
      </c>
      <c r="D150" s="5">
        <f t="shared" ref="D150:D179" si="25">E150*20000</f>
        <v>0</v>
      </c>
      <c r="E150" s="5">
        <v>0</v>
      </c>
      <c r="F150" s="5">
        <f t="shared" ref="F150:F179" si="26">G150*40000*2</f>
        <v>0</v>
      </c>
      <c r="G150" s="5">
        <v>0</v>
      </c>
      <c r="H150" s="15">
        <f t="shared" si="13"/>
        <v>0</v>
      </c>
      <c r="I150" s="5">
        <v>0</v>
      </c>
      <c r="J150" s="5">
        <f t="shared" ref="J150:J179" si="27">K150*20000</f>
        <v>0</v>
      </c>
      <c r="K150" s="5">
        <v>0</v>
      </c>
      <c r="L150" s="6">
        <f t="shared" ref="L150:L179" si="28">200000-H150-F150-D150-J150</f>
        <v>200000</v>
      </c>
    </row>
    <row r="151" spans="1:12" x14ac:dyDescent="0.45">
      <c r="A151" s="10">
        <f t="shared" si="24"/>
        <v>150</v>
      </c>
      <c r="B151" s="5" t="s">
        <v>219</v>
      </c>
      <c r="C151" s="5" t="s">
        <v>22</v>
      </c>
      <c r="D151" s="5">
        <f t="shared" si="25"/>
        <v>0</v>
      </c>
      <c r="E151" s="5">
        <v>0</v>
      </c>
      <c r="F151" s="5">
        <f t="shared" si="26"/>
        <v>0</v>
      </c>
      <c r="G151" s="5">
        <v>0</v>
      </c>
      <c r="H151" s="15">
        <f t="shared" si="13"/>
        <v>0</v>
      </c>
      <c r="I151" s="5">
        <v>0</v>
      </c>
      <c r="J151" s="5">
        <f t="shared" si="27"/>
        <v>0</v>
      </c>
      <c r="K151" s="5">
        <v>0</v>
      </c>
      <c r="L151" s="6">
        <f t="shared" si="28"/>
        <v>200000</v>
      </c>
    </row>
    <row r="152" spans="1:12" x14ac:dyDescent="0.45">
      <c r="A152" s="10">
        <f t="shared" si="24"/>
        <v>151</v>
      </c>
      <c r="B152" s="5" t="s">
        <v>220</v>
      </c>
      <c r="C152" s="5" t="s">
        <v>22</v>
      </c>
      <c r="D152" s="5">
        <f t="shared" si="25"/>
        <v>0</v>
      </c>
      <c r="E152" s="5">
        <v>0</v>
      </c>
      <c r="F152" s="5">
        <f t="shared" si="26"/>
        <v>0</v>
      </c>
      <c r="G152" s="5">
        <v>0</v>
      </c>
      <c r="H152" s="15">
        <f t="shared" si="13"/>
        <v>0</v>
      </c>
      <c r="I152" s="5">
        <v>0</v>
      </c>
      <c r="J152" s="5">
        <f t="shared" si="27"/>
        <v>0</v>
      </c>
      <c r="K152" s="5">
        <v>0</v>
      </c>
      <c r="L152" s="6">
        <f t="shared" si="28"/>
        <v>200000</v>
      </c>
    </row>
    <row r="153" spans="1:12" x14ac:dyDescent="0.45">
      <c r="A153" s="10">
        <f t="shared" si="24"/>
        <v>152</v>
      </c>
      <c r="B153" s="5" t="s">
        <v>221</v>
      </c>
      <c r="C153" s="5" t="s">
        <v>22</v>
      </c>
      <c r="D153" s="5">
        <f t="shared" si="25"/>
        <v>0</v>
      </c>
      <c r="E153" s="5">
        <v>0</v>
      </c>
      <c r="F153" s="5">
        <f t="shared" si="26"/>
        <v>0</v>
      </c>
      <c r="G153" s="5">
        <v>0</v>
      </c>
      <c r="H153" s="15">
        <f t="shared" si="13"/>
        <v>0</v>
      </c>
      <c r="I153" s="5">
        <v>0</v>
      </c>
      <c r="J153" s="5">
        <f t="shared" si="27"/>
        <v>0</v>
      </c>
      <c r="K153" s="5">
        <v>0</v>
      </c>
      <c r="L153" s="6">
        <f t="shared" si="28"/>
        <v>200000</v>
      </c>
    </row>
    <row r="154" spans="1:12" x14ac:dyDescent="0.45">
      <c r="A154" s="10">
        <f t="shared" si="24"/>
        <v>153</v>
      </c>
      <c r="B154" s="5" t="s">
        <v>222</v>
      </c>
      <c r="C154" s="5" t="s">
        <v>22</v>
      </c>
      <c r="D154" s="5">
        <f t="shared" si="25"/>
        <v>0</v>
      </c>
      <c r="E154" s="5">
        <v>0</v>
      </c>
      <c r="F154" s="5">
        <f t="shared" si="26"/>
        <v>0</v>
      </c>
      <c r="G154" s="5">
        <v>0</v>
      </c>
      <c r="H154" s="15">
        <f t="shared" si="13"/>
        <v>0</v>
      </c>
      <c r="I154" s="5">
        <v>0</v>
      </c>
      <c r="J154" s="5">
        <f t="shared" si="27"/>
        <v>0</v>
      </c>
      <c r="K154" s="5">
        <v>0</v>
      </c>
      <c r="L154" s="6">
        <f t="shared" si="28"/>
        <v>200000</v>
      </c>
    </row>
    <row r="155" spans="1:12" x14ac:dyDescent="0.45">
      <c r="A155" s="10">
        <f t="shared" si="24"/>
        <v>154</v>
      </c>
      <c r="B155" s="5" t="s">
        <v>223</v>
      </c>
      <c r="C155" s="5" t="s">
        <v>22</v>
      </c>
      <c r="D155" s="5">
        <f t="shared" si="25"/>
        <v>20000</v>
      </c>
      <c r="E155" s="5">
        <v>1</v>
      </c>
      <c r="F155" s="5">
        <f t="shared" si="26"/>
        <v>0</v>
      </c>
      <c r="G155" s="5">
        <v>0</v>
      </c>
      <c r="H155" s="15">
        <f t="shared" si="13"/>
        <v>0</v>
      </c>
      <c r="I155" s="5">
        <v>0</v>
      </c>
      <c r="J155" s="5">
        <f t="shared" si="27"/>
        <v>0</v>
      </c>
      <c r="K155" s="5">
        <v>0</v>
      </c>
      <c r="L155" s="6">
        <f t="shared" si="28"/>
        <v>180000</v>
      </c>
    </row>
    <row r="156" spans="1:12" x14ac:dyDescent="0.45">
      <c r="A156" s="10">
        <f t="shared" si="24"/>
        <v>155</v>
      </c>
      <c r="B156" s="5" t="s">
        <v>224</v>
      </c>
      <c r="C156" s="5" t="s">
        <v>22</v>
      </c>
      <c r="D156" s="5">
        <f t="shared" si="25"/>
        <v>0</v>
      </c>
      <c r="E156" s="5">
        <v>0</v>
      </c>
      <c r="F156" s="5">
        <f t="shared" si="26"/>
        <v>0</v>
      </c>
      <c r="G156" s="5">
        <v>0</v>
      </c>
      <c r="H156" s="15">
        <f t="shared" si="13"/>
        <v>0</v>
      </c>
      <c r="I156" s="5">
        <v>0</v>
      </c>
      <c r="J156" s="5">
        <f t="shared" si="27"/>
        <v>0</v>
      </c>
      <c r="K156" s="5">
        <v>0</v>
      </c>
      <c r="L156" s="6">
        <f t="shared" si="28"/>
        <v>200000</v>
      </c>
    </row>
    <row r="157" spans="1:12" x14ac:dyDescent="0.45">
      <c r="A157" s="10">
        <f t="shared" si="24"/>
        <v>156</v>
      </c>
      <c r="B157" s="5" t="s">
        <v>225</v>
      </c>
      <c r="C157" s="5" t="s">
        <v>22</v>
      </c>
      <c r="D157" s="5">
        <f t="shared" si="25"/>
        <v>0</v>
      </c>
      <c r="E157" s="5">
        <v>0</v>
      </c>
      <c r="F157" s="5">
        <f t="shared" si="26"/>
        <v>0</v>
      </c>
      <c r="G157" s="5">
        <v>0</v>
      </c>
      <c r="H157" s="15">
        <f t="shared" si="13"/>
        <v>0</v>
      </c>
      <c r="I157" s="5">
        <v>0</v>
      </c>
      <c r="J157" s="5">
        <f t="shared" si="27"/>
        <v>20000</v>
      </c>
      <c r="K157" s="5">
        <v>1</v>
      </c>
      <c r="L157" s="6">
        <f t="shared" si="28"/>
        <v>180000</v>
      </c>
    </row>
    <row r="158" spans="1:12" x14ac:dyDescent="0.45">
      <c r="A158" s="10">
        <f t="shared" si="24"/>
        <v>157</v>
      </c>
      <c r="B158" s="5" t="s">
        <v>226</v>
      </c>
      <c r="C158" s="5" t="s">
        <v>22</v>
      </c>
      <c r="D158" s="5">
        <f t="shared" si="25"/>
        <v>0</v>
      </c>
      <c r="E158" s="5">
        <v>0</v>
      </c>
      <c r="F158" s="5">
        <f t="shared" si="26"/>
        <v>0</v>
      </c>
      <c r="G158" s="5">
        <v>0</v>
      </c>
      <c r="H158" s="15">
        <f t="shared" si="13"/>
        <v>0</v>
      </c>
      <c r="I158" s="5">
        <v>0</v>
      </c>
      <c r="J158" s="5">
        <f t="shared" si="27"/>
        <v>0</v>
      </c>
      <c r="K158" s="5">
        <v>0</v>
      </c>
      <c r="L158" s="6">
        <f t="shared" si="28"/>
        <v>200000</v>
      </c>
    </row>
    <row r="159" spans="1:12" x14ac:dyDescent="0.45">
      <c r="A159" s="10">
        <f t="shared" si="24"/>
        <v>158</v>
      </c>
      <c r="B159" s="5" t="s">
        <v>227</v>
      </c>
      <c r="C159" s="5" t="s">
        <v>22</v>
      </c>
      <c r="D159" s="5">
        <f t="shared" si="25"/>
        <v>20000</v>
      </c>
      <c r="E159" s="5">
        <v>1</v>
      </c>
      <c r="F159" s="5">
        <f t="shared" si="26"/>
        <v>80000</v>
      </c>
      <c r="G159" s="5">
        <v>1</v>
      </c>
      <c r="H159" s="15">
        <f t="shared" si="13"/>
        <v>0</v>
      </c>
      <c r="I159" s="5">
        <v>0</v>
      </c>
      <c r="J159" s="5">
        <f t="shared" si="27"/>
        <v>0</v>
      </c>
      <c r="K159" s="5">
        <v>0</v>
      </c>
      <c r="L159" s="6">
        <f t="shared" si="28"/>
        <v>100000</v>
      </c>
    </row>
    <row r="160" spans="1:12" x14ac:dyDescent="0.45">
      <c r="A160" s="10">
        <f t="shared" si="24"/>
        <v>159</v>
      </c>
      <c r="B160" s="5" t="s">
        <v>228</v>
      </c>
      <c r="C160" s="5" t="s">
        <v>22</v>
      </c>
      <c r="D160" s="5">
        <f t="shared" si="25"/>
        <v>0</v>
      </c>
      <c r="E160" s="5">
        <v>0</v>
      </c>
      <c r="F160" s="5">
        <f t="shared" si="26"/>
        <v>80000</v>
      </c>
      <c r="G160" s="5">
        <v>1</v>
      </c>
      <c r="H160" s="15">
        <f t="shared" si="13"/>
        <v>0</v>
      </c>
      <c r="I160" s="5">
        <v>0</v>
      </c>
      <c r="J160" s="5">
        <f t="shared" si="27"/>
        <v>0</v>
      </c>
      <c r="K160" s="5">
        <v>0</v>
      </c>
      <c r="L160" s="6">
        <f t="shared" si="28"/>
        <v>120000</v>
      </c>
    </row>
    <row r="161" spans="1:12" x14ac:dyDescent="0.45">
      <c r="A161" s="10">
        <f t="shared" si="24"/>
        <v>160</v>
      </c>
      <c r="B161" s="5" t="s">
        <v>229</v>
      </c>
      <c r="C161" s="5" t="s">
        <v>22</v>
      </c>
      <c r="D161" s="5">
        <f t="shared" si="25"/>
        <v>0</v>
      </c>
      <c r="E161" s="5">
        <v>0</v>
      </c>
      <c r="F161" s="5">
        <f t="shared" si="26"/>
        <v>0</v>
      </c>
      <c r="G161" s="5">
        <v>0</v>
      </c>
      <c r="H161" s="15">
        <f t="shared" si="13"/>
        <v>0</v>
      </c>
      <c r="I161" s="5">
        <v>0</v>
      </c>
      <c r="J161" s="5">
        <f t="shared" si="27"/>
        <v>0</v>
      </c>
      <c r="K161" s="5">
        <v>0</v>
      </c>
      <c r="L161" s="6">
        <f t="shared" si="28"/>
        <v>200000</v>
      </c>
    </row>
    <row r="162" spans="1:12" x14ac:dyDescent="0.45">
      <c r="A162" s="10">
        <f t="shared" si="24"/>
        <v>161</v>
      </c>
      <c r="B162" s="5" t="s">
        <v>230</v>
      </c>
      <c r="C162" s="5" t="s">
        <v>22</v>
      </c>
      <c r="D162" s="5">
        <f t="shared" si="25"/>
        <v>0</v>
      </c>
      <c r="E162" s="5">
        <v>0</v>
      </c>
      <c r="F162" s="5">
        <f t="shared" si="26"/>
        <v>0</v>
      </c>
      <c r="G162" s="5">
        <v>0</v>
      </c>
      <c r="H162" s="15">
        <f t="shared" si="13"/>
        <v>0</v>
      </c>
      <c r="I162" s="5">
        <v>0</v>
      </c>
      <c r="J162" s="5">
        <f t="shared" si="27"/>
        <v>0</v>
      </c>
      <c r="K162" s="5">
        <v>0</v>
      </c>
      <c r="L162" s="6">
        <f t="shared" si="28"/>
        <v>200000</v>
      </c>
    </row>
    <row r="163" spans="1:12" x14ac:dyDescent="0.45">
      <c r="A163" s="10">
        <f t="shared" si="24"/>
        <v>162</v>
      </c>
      <c r="B163" s="5" t="s">
        <v>231</v>
      </c>
      <c r="C163" s="5" t="s">
        <v>22</v>
      </c>
      <c r="D163" s="5">
        <f t="shared" si="25"/>
        <v>0</v>
      </c>
      <c r="E163" s="5">
        <v>0</v>
      </c>
      <c r="F163" s="5">
        <f t="shared" si="26"/>
        <v>0</v>
      </c>
      <c r="G163" s="5">
        <v>0</v>
      </c>
      <c r="H163" s="15">
        <f t="shared" si="13"/>
        <v>0</v>
      </c>
      <c r="I163" s="5">
        <v>0</v>
      </c>
      <c r="J163" s="5">
        <f t="shared" si="27"/>
        <v>0</v>
      </c>
      <c r="K163" s="5">
        <v>0</v>
      </c>
      <c r="L163" s="6">
        <f t="shared" si="28"/>
        <v>200000</v>
      </c>
    </row>
    <row r="164" spans="1:12" x14ac:dyDescent="0.45">
      <c r="A164" s="10">
        <f t="shared" si="24"/>
        <v>163</v>
      </c>
      <c r="B164" s="5" t="s">
        <v>232</v>
      </c>
      <c r="C164" s="5" t="s">
        <v>22</v>
      </c>
      <c r="D164" s="5">
        <f t="shared" si="25"/>
        <v>0</v>
      </c>
      <c r="E164" s="5">
        <v>0</v>
      </c>
      <c r="F164" s="5">
        <f t="shared" si="26"/>
        <v>0</v>
      </c>
      <c r="G164" s="5">
        <v>0</v>
      </c>
      <c r="H164" s="15">
        <f t="shared" si="13"/>
        <v>0</v>
      </c>
      <c r="I164" s="5">
        <v>0</v>
      </c>
      <c r="J164" s="5">
        <f t="shared" si="27"/>
        <v>20000</v>
      </c>
      <c r="K164" s="5">
        <v>1</v>
      </c>
      <c r="L164" s="6">
        <f t="shared" si="28"/>
        <v>180000</v>
      </c>
    </row>
    <row r="165" spans="1:12" x14ac:dyDescent="0.45">
      <c r="A165" s="10">
        <f t="shared" si="24"/>
        <v>164</v>
      </c>
      <c r="B165" s="5" t="s">
        <v>233</v>
      </c>
      <c r="C165" s="5" t="s">
        <v>22</v>
      </c>
      <c r="D165" s="5">
        <f t="shared" si="25"/>
        <v>0</v>
      </c>
      <c r="E165" s="5">
        <v>0</v>
      </c>
      <c r="F165" s="5">
        <f t="shared" si="26"/>
        <v>0</v>
      </c>
      <c r="G165" s="5">
        <v>0</v>
      </c>
      <c r="H165" s="15">
        <f t="shared" ref="H165:H210" si="29">I165*30000</f>
        <v>0</v>
      </c>
      <c r="I165" s="5">
        <v>0</v>
      </c>
      <c r="J165" s="5">
        <f t="shared" si="27"/>
        <v>0</v>
      </c>
      <c r="K165" s="5">
        <v>0</v>
      </c>
      <c r="L165" s="6">
        <f t="shared" si="28"/>
        <v>200000</v>
      </c>
    </row>
    <row r="166" spans="1:12" x14ac:dyDescent="0.45">
      <c r="A166" s="10">
        <f t="shared" si="24"/>
        <v>165</v>
      </c>
      <c r="B166" s="5" t="s">
        <v>234</v>
      </c>
      <c r="C166" s="5" t="s">
        <v>22</v>
      </c>
      <c r="D166" s="5">
        <f t="shared" si="25"/>
        <v>0</v>
      </c>
      <c r="E166" s="5">
        <v>0</v>
      </c>
      <c r="F166" s="5">
        <f t="shared" si="26"/>
        <v>80000</v>
      </c>
      <c r="G166" s="5">
        <v>1</v>
      </c>
      <c r="H166" s="15">
        <f t="shared" si="29"/>
        <v>0</v>
      </c>
      <c r="I166" s="5">
        <v>0</v>
      </c>
      <c r="J166" s="5">
        <f t="shared" si="27"/>
        <v>20000</v>
      </c>
      <c r="K166" s="5">
        <v>1</v>
      </c>
      <c r="L166" s="6">
        <f t="shared" si="28"/>
        <v>100000</v>
      </c>
    </row>
    <row r="167" spans="1:12" x14ac:dyDescent="0.45">
      <c r="A167" s="10">
        <f t="shared" si="24"/>
        <v>166</v>
      </c>
      <c r="B167" s="5" t="s">
        <v>235</v>
      </c>
      <c r="C167" s="5" t="s">
        <v>22</v>
      </c>
      <c r="D167" s="5">
        <f t="shared" si="25"/>
        <v>0</v>
      </c>
      <c r="E167" s="5">
        <v>0</v>
      </c>
      <c r="F167" s="5">
        <f t="shared" si="26"/>
        <v>80000</v>
      </c>
      <c r="G167" s="5">
        <v>1</v>
      </c>
      <c r="H167" s="15">
        <f t="shared" si="29"/>
        <v>0</v>
      </c>
      <c r="I167" s="5">
        <v>0</v>
      </c>
      <c r="J167" s="5">
        <f t="shared" si="27"/>
        <v>20000</v>
      </c>
      <c r="K167" s="5">
        <v>1</v>
      </c>
      <c r="L167" s="6">
        <f t="shared" si="28"/>
        <v>100000</v>
      </c>
    </row>
    <row r="168" spans="1:12" x14ac:dyDescent="0.45">
      <c r="A168" s="10">
        <f t="shared" si="24"/>
        <v>167</v>
      </c>
      <c r="B168" s="5" t="s">
        <v>236</v>
      </c>
      <c r="C168" s="5" t="s">
        <v>22</v>
      </c>
      <c r="D168" s="5">
        <f t="shared" si="25"/>
        <v>20000</v>
      </c>
      <c r="E168" s="5">
        <v>1</v>
      </c>
      <c r="F168" s="5">
        <f t="shared" si="26"/>
        <v>0</v>
      </c>
      <c r="G168" s="5">
        <v>0</v>
      </c>
      <c r="H168" s="15">
        <f t="shared" si="29"/>
        <v>0</v>
      </c>
      <c r="I168" s="5">
        <v>0</v>
      </c>
      <c r="J168" s="5">
        <f t="shared" si="27"/>
        <v>0</v>
      </c>
      <c r="K168" s="5">
        <v>0</v>
      </c>
      <c r="L168" s="6">
        <f t="shared" si="28"/>
        <v>180000</v>
      </c>
    </row>
    <row r="169" spans="1:12" x14ac:dyDescent="0.45">
      <c r="A169" s="10">
        <f t="shared" si="24"/>
        <v>168</v>
      </c>
      <c r="B169" s="5" t="s">
        <v>237</v>
      </c>
      <c r="C169" s="5" t="s">
        <v>22</v>
      </c>
      <c r="D169" s="5">
        <f t="shared" si="25"/>
        <v>40000</v>
      </c>
      <c r="E169" s="5">
        <v>2</v>
      </c>
      <c r="F169" s="5">
        <f t="shared" si="26"/>
        <v>0</v>
      </c>
      <c r="G169" s="5">
        <v>0</v>
      </c>
      <c r="H169" s="15">
        <f t="shared" si="29"/>
        <v>0</v>
      </c>
      <c r="I169" s="5">
        <v>0</v>
      </c>
      <c r="J169" s="5">
        <f t="shared" si="27"/>
        <v>0</v>
      </c>
      <c r="K169" s="5">
        <v>0</v>
      </c>
      <c r="L169" s="6">
        <f t="shared" si="28"/>
        <v>160000</v>
      </c>
    </row>
    <row r="170" spans="1:12" x14ac:dyDescent="0.45">
      <c r="A170" s="10">
        <f t="shared" si="24"/>
        <v>169</v>
      </c>
      <c r="B170" s="5" t="s">
        <v>238</v>
      </c>
      <c r="C170" s="5" t="s">
        <v>22</v>
      </c>
      <c r="D170" s="5">
        <f t="shared" si="25"/>
        <v>20000</v>
      </c>
      <c r="E170" s="5">
        <v>1</v>
      </c>
      <c r="F170" s="5">
        <f t="shared" si="26"/>
        <v>0</v>
      </c>
      <c r="G170" s="5">
        <v>0</v>
      </c>
      <c r="H170" s="15">
        <f t="shared" si="29"/>
        <v>0</v>
      </c>
      <c r="I170" s="5">
        <v>0</v>
      </c>
      <c r="J170" s="5">
        <f t="shared" si="27"/>
        <v>0</v>
      </c>
      <c r="K170" s="5">
        <v>0</v>
      </c>
      <c r="L170" s="6">
        <f t="shared" si="28"/>
        <v>180000</v>
      </c>
    </row>
    <row r="171" spans="1:12" x14ac:dyDescent="0.45">
      <c r="A171" s="10">
        <f t="shared" si="24"/>
        <v>170</v>
      </c>
      <c r="B171" s="5" t="s">
        <v>239</v>
      </c>
      <c r="C171" s="5" t="s">
        <v>22</v>
      </c>
      <c r="D171" s="5">
        <f t="shared" si="25"/>
        <v>0</v>
      </c>
      <c r="E171" s="5">
        <v>0</v>
      </c>
      <c r="F171" s="5">
        <f t="shared" si="26"/>
        <v>80000</v>
      </c>
      <c r="G171" s="5">
        <v>1</v>
      </c>
      <c r="H171" s="15">
        <f t="shared" si="29"/>
        <v>0</v>
      </c>
      <c r="I171" s="5">
        <v>0</v>
      </c>
      <c r="J171" s="5">
        <f t="shared" si="27"/>
        <v>0</v>
      </c>
      <c r="K171" s="5">
        <v>0</v>
      </c>
      <c r="L171" s="6">
        <f t="shared" si="28"/>
        <v>120000</v>
      </c>
    </row>
    <row r="172" spans="1:12" x14ac:dyDescent="0.45">
      <c r="A172" s="10">
        <f t="shared" si="24"/>
        <v>171</v>
      </c>
      <c r="B172" s="5" t="s">
        <v>240</v>
      </c>
      <c r="C172" s="5" t="s">
        <v>22</v>
      </c>
      <c r="D172" s="5">
        <f t="shared" si="25"/>
        <v>40000</v>
      </c>
      <c r="E172" s="5">
        <v>2</v>
      </c>
      <c r="F172" s="5">
        <f t="shared" si="26"/>
        <v>0</v>
      </c>
      <c r="G172" s="5">
        <v>0</v>
      </c>
      <c r="H172" s="15">
        <f t="shared" si="29"/>
        <v>0</v>
      </c>
      <c r="I172" s="5">
        <v>0</v>
      </c>
      <c r="J172" s="5">
        <f t="shared" si="27"/>
        <v>0</v>
      </c>
      <c r="K172" s="5">
        <v>0</v>
      </c>
      <c r="L172" s="6">
        <f t="shared" si="28"/>
        <v>160000</v>
      </c>
    </row>
    <row r="173" spans="1:12" x14ac:dyDescent="0.45">
      <c r="A173" s="10">
        <f t="shared" si="24"/>
        <v>172</v>
      </c>
      <c r="B173" s="5" t="s">
        <v>241</v>
      </c>
      <c r="C173" s="5" t="s">
        <v>22</v>
      </c>
      <c r="D173" s="5">
        <f t="shared" si="25"/>
        <v>0</v>
      </c>
      <c r="E173" s="5">
        <v>0</v>
      </c>
      <c r="F173" s="5">
        <f t="shared" si="26"/>
        <v>0</v>
      </c>
      <c r="G173" s="5">
        <v>0</v>
      </c>
      <c r="H173" s="15">
        <f t="shared" si="29"/>
        <v>0</v>
      </c>
      <c r="I173" s="5">
        <v>0</v>
      </c>
      <c r="J173" s="5">
        <f t="shared" si="27"/>
        <v>0</v>
      </c>
      <c r="K173" s="5">
        <v>0</v>
      </c>
      <c r="L173" s="6">
        <f t="shared" si="28"/>
        <v>200000</v>
      </c>
    </row>
    <row r="174" spans="1:12" x14ac:dyDescent="0.45">
      <c r="A174" s="10">
        <f t="shared" si="24"/>
        <v>173</v>
      </c>
      <c r="B174" s="5" t="s">
        <v>242</v>
      </c>
      <c r="C174" s="5" t="s">
        <v>22</v>
      </c>
      <c r="D174" s="5">
        <f t="shared" si="25"/>
        <v>0</v>
      </c>
      <c r="E174" s="5">
        <v>0</v>
      </c>
      <c r="F174" s="5">
        <f t="shared" si="26"/>
        <v>0</v>
      </c>
      <c r="G174" s="5">
        <v>0</v>
      </c>
      <c r="H174" s="15">
        <f t="shared" si="29"/>
        <v>0</v>
      </c>
      <c r="I174" s="5">
        <v>0</v>
      </c>
      <c r="J174" s="5">
        <f t="shared" si="27"/>
        <v>0</v>
      </c>
      <c r="K174" s="5">
        <v>0</v>
      </c>
      <c r="L174" s="6">
        <f t="shared" si="28"/>
        <v>200000</v>
      </c>
    </row>
    <row r="175" spans="1:12" x14ac:dyDescent="0.45">
      <c r="A175" s="10">
        <f t="shared" si="24"/>
        <v>174</v>
      </c>
      <c r="B175" s="5" t="s">
        <v>243</v>
      </c>
      <c r="C175" s="5" t="s">
        <v>22</v>
      </c>
      <c r="D175" s="5">
        <f t="shared" si="25"/>
        <v>0</v>
      </c>
      <c r="E175" s="5">
        <v>0</v>
      </c>
      <c r="F175" s="5">
        <f t="shared" si="26"/>
        <v>80000</v>
      </c>
      <c r="G175" s="5">
        <v>1</v>
      </c>
      <c r="H175" s="15">
        <f t="shared" si="29"/>
        <v>0</v>
      </c>
      <c r="I175" s="5">
        <v>0</v>
      </c>
      <c r="J175" s="5">
        <f t="shared" si="27"/>
        <v>0</v>
      </c>
      <c r="K175" s="5">
        <v>0</v>
      </c>
      <c r="L175" s="6">
        <f t="shared" si="28"/>
        <v>120000</v>
      </c>
    </row>
    <row r="176" spans="1:12" x14ac:dyDescent="0.45">
      <c r="A176" s="10">
        <f t="shared" si="24"/>
        <v>175</v>
      </c>
      <c r="B176" s="5" t="s">
        <v>244</v>
      </c>
      <c r="C176" s="5" t="s">
        <v>22</v>
      </c>
      <c r="D176" s="5">
        <f t="shared" si="25"/>
        <v>20000</v>
      </c>
      <c r="E176" s="5">
        <v>1</v>
      </c>
      <c r="F176" s="5">
        <f t="shared" si="26"/>
        <v>80000</v>
      </c>
      <c r="G176" s="5">
        <v>1</v>
      </c>
      <c r="H176" s="15">
        <f t="shared" si="29"/>
        <v>0</v>
      </c>
      <c r="I176" s="5">
        <v>0</v>
      </c>
      <c r="J176" s="5">
        <f t="shared" si="27"/>
        <v>0</v>
      </c>
      <c r="K176" s="5">
        <v>0</v>
      </c>
      <c r="L176" s="6">
        <f t="shared" si="28"/>
        <v>100000</v>
      </c>
    </row>
    <row r="177" spans="1:12" x14ac:dyDescent="0.45">
      <c r="A177" s="10">
        <f t="shared" si="24"/>
        <v>176</v>
      </c>
      <c r="B177" s="5" t="s">
        <v>245</v>
      </c>
      <c r="C177" s="5" t="s">
        <v>22</v>
      </c>
      <c r="D177" s="5">
        <f t="shared" si="25"/>
        <v>0</v>
      </c>
      <c r="E177" s="5">
        <v>0</v>
      </c>
      <c r="F177" s="5">
        <f t="shared" si="26"/>
        <v>0</v>
      </c>
      <c r="G177" s="5">
        <v>0</v>
      </c>
      <c r="H177" s="15">
        <f t="shared" si="29"/>
        <v>0</v>
      </c>
      <c r="I177" s="5">
        <v>0</v>
      </c>
      <c r="J177" s="5">
        <f t="shared" si="27"/>
        <v>0</v>
      </c>
      <c r="K177" s="5">
        <v>0</v>
      </c>
      <c r="L177" s="6">
        <f t="shared" si="28"/>
        <v>200000</v>
      </c>
    </row>
    <row r="178" spans="1:12" x14ac:dyDescent="0.45">
      <c r="A178" s="10">
        <f t="shared" si="24"/>
        <v>177</v>
      </c>
      <c r="B178" s="5" t="s">
        <v>246</v>
      </c>
      <c r="C178" s="5" t="s">
        <v>22</v>
      </c>
      <c r="D178" s="5">
        <f t="shared" si="25"/>
        <v>0</v>
      </c>
      <c r="E178" s="5">
        <v>0</v>
      </c>
      <c r="F178" s="5">
        <f t="shared" si="26"/>
        <v>0</v>
      </c>
      <c r="G178" s="5">
        <v>0</v>
      </c>
      <c r="H178" s="15">
        <f t="shared" si="29"/>
        <v>0</v>
      </c>
      <c r="I178" s="5">
        <v>0</v>
      </c>
      <c r="J178" s="5">
        <f t="shared" si="27"/>
        <v>20000</v>
      </c>
      <c r="K178" s="5">
        <v>1</v>
      </c>
      <c r="L178" s="6">
        <f t="shared" si="28"/>
        <v>180000</v>
      </c>
    </row>
    <row r="179" spans="1:12" x14ac:dyDescent="0.45">
      <c r="A179" s="10">
        <f t="shared" si="24"/>
        <v>178</v>
      </c>
      <c r="B179" s="5" t="s">
        <v>247</v>
      </c>
      <c r="C179" s="5" t="s">
        <v>22</v>
      </c>
      <c r="D179" s="5">
        <f t="shared" si="25"/>
        <v>0</v>
      </c>
      <c r="E179" s="5">
        <v>0</v>
      </c>
      <c r="F179" s="5">
        <f t="shared" si="26"/>
        <v>160000</v>
      </c>
      <c r="G179" s="5">
        <v>2</v>
      </c>
      <c r="H179" s="15">
        <f t="shared" si="29"/>
        <v>0</v>
      </c>
      <c r="I179" s="5">
        <v>0</v>
      </c>
      <c r="J179" s="5">
        <f t="shared" si="27"/>
        <v>0</v>
      </c>
      <c r="K179" s="5">
        <v>0</v>
      </c>
      <c r="L179" s="6">
        <f t="shared" si="28"/>
        <v>40000</v>
      </c>
    </row>
    <row r="180" spans="1:12" x14ac:dyDescent="0.45">
      <c r="A180" s="10">
        <f>ROW(A180)-1</f>
        <v>179</v>
      </c>
      <c r="B180" s="5" t="s">
        <v>248</v>
      </c>
      <c r="C180" s="5" t="s">
        <v>22</v>
      </c>
      <c r="D180" s="5">
        <f>E180*20000</f>
        <v>0</v>
      </c>
      <c r="E180" s="5">
        <v>0</v>
      </c>
      <c r="F180" s="5">
        <f>G180*40000*2</f>
        <v>0</v>
      </c>
      <c r="G180" s="5">
        <v>0</v>
      </c>
      <c r="H180" s="15">
        <f t="shared" si="29"/>
        <v>0</v>
      </c>
      <c r="I180" s="5">
        <v>0</v>
      </c>
      <c r="J180" s="5">
        <f>K180*20000</f>
        <v>0</v>
      </c>
      <c r="K180" s="5">
        <v>0</v>
      </c>
      <c r="L180" s="6">
        <f>200000-H180-F180-D180-J180</f>
        <v>200000</v>
      </c>
    </row>
    <row r="181" spans="1:12" x14ac:dyDescent="0.45">
      <c r="A181" s="10">
        <f t="shared" ref="A181:A210" si="30">ROW(A181)-1</f>
        <v>180</v>
      </c>
      <c r="B181" s="5" t="s">
        <v>249</v>
      </c>
      <c r="C181" s="5" t="s">
        <v>22</v>
      </c>
      <c r="D181" s="5">
        <f t="shared" ref="D181:D210" si="31">E181*20000</f>
        <v>0</v>
      </c>
      <c r="E181" s="5">
        <v>0</v>
      </c>
      <c r="F181" s="5">
        <f t="shared" ref="F181:F210" si="32">G181*40000*2</f>
        <v>160000</v>
      </c>
      <c r="G181" s="5">
        <v>2</v>
      </c>
      <c r="H181" s="15">
        <f t="shared" si="29"/>
        <v>0</v>
      </c>
      <c r="I181" s="5">
        <v>0</v>
      </c>
      <c r="J181" s="5">
        <f t="shared" ref="J181:J210" si="33">K181*20000</f>
        <v>40000</v>
      </c>
      <c r="K181" s="5">
        <v>2</v>
      </c>
      <c r="L181" s="6">
        <f t="shared" ref="L181:L210" si="34">200000-H181-F181-D181-J181</f>
        <v>0</v>
      </c>
    </row>
    <row r="182" spans="1:12" x14ac:dyDescent="0.45">
      <c r="A182" s="10">
        <f t="shared" si="30"/>
        <v>181</v>
      </c>
      <c r="B182" s="5" t="s">
        <v>250</v>
      </c>
      <c r="C182" s="5" t="s">
        <v>22</v>
      </c>
      <c r="D182" s="5">
        <f t="shared" si="31"/>
        <v>0</v>
      </c>
      <c r="E182" s="5">
        <v>0</v>
      </c>
      <c r="F182" s="5">
        <f t="shared" si="32"/>
        <v>0</v>
      </c>
      <c r="G182" s="5">
        <v>0</v>
      </c>
      <c r="H182" s="15">
        <f t="shared" si="29"/>
        <v>0</v>
      </c>
      <c r="I182" s="5">
        <v>0</v>
      </c>
      <c r="J182" s="5">
        <f t="shared" si="33"/>
        <v>0</v>
      </c>
      <c r="K182" s="5">
        <v>0</v>
      </c>
      <c r="L182" s="6">
        <f t="shared" si="34"/>
        <v>200000</v>
      </c>
    </row>
    <row r="183" spans="1:12" x14ac:dyDescent="0.45">
      <c r="A183" s="10">
        <f t="shared" si="30"/>
        <v>182</v>
      </c>
      <c r="B183" s="5" t="s">
        <v>251</v>
      </c>
      <c r="C183" s="5" t="s">
        <v>22</v>
      </c>
      <c r="D183" s="5">
        <f t="shared" si="31"/>
        <v>0</v>
      </c>
      <c r="E183" s="5">
        <v>0</v>
      </c>
      <c r="F183" s="5">
        <f t="shared" si="32"/>
        <v>80000</v>
      </c>
      <c r="G183" s="5">
        <v>1</v>
      </c>
      <c r="H183" s="15">
        <f t="shared" si="29"/>
        <v>0</v>
      </c>
      <c r="I183" s="5">
        <v>0</v>
      </c>
      <c r="J183" s="5">
        <f t="shared" si="33"/>
        <v>20000</v>
      </c>
      <c r="K183" s="5">
        <v>1</v>
      </c>
      <c r="L183" s="6">
        <f t="shared" si="34"/>
        <v>100000</v>
      </c>
    </row>
    <row r="184" spans="1:12" x14ac:dyDescent="0.45">
      <c r="A184" s="10">
        <f t="shared" si="30"/>
        <v>183</v>
      </c>
      <c r="B184" s="5" t="s">
        <v>252</v>
      </c>
      <c r="C184" s="5" t="s">
        <v>22</v>
      </c>
      <c r="D184" s="5">
        <f t="shared" si="31"/>
        <v>20000</v>
      </c>
      <c r="E184" s="5">
        <v>1</v>
      </c>
      <c r="F184" s="5">
        <f t="shared" si="32"/>
        <v>0</v>
      </c>
      <c r="G184" s="5">
        <v>0</v>
      </c>
      <c r="H184" s="15">
        <f t="shared" si="29"/>
        <v>0</v>
      </c>
      <c r="I184" s="5">
        <v>0</v>
      </c>
      <c r="J184" s="5">
        <f t="shared" si="33"/>
        <v>0</v>
      </c>
      <c r="K184" s="5">
        <v>0</v>
      </c>
      <c r="L184" s="6">
        <f t="shared" si="34"/>
        <v>180000</v>
      </c>
    </row>
    <row r="185" spans="1:12" x14ac:dyDescent="0.45">
      <c r="A185" s="10">
        <f t="shared" si="30"/>
        <v>184</v>
      </c>
      <c r="B185" s="5" t="s">
        <v>253</v>
      </c>
      <c r="C185" s="5" t="s">
        <v>22</v>
      </c>
      <c r="D185" s="5">
        <f t="shared" si="31"/>
        <v>0</v>
      </c>
      <c r="E185" s="5">
        <v>0</v>
      </c>
      <c r="F185" s="5">
        <f t="shared" si="32"/>
        <v>0</v>
      </c>
      <c r="G185" s="5">
        <v>0</v>
      </c>
      <c r="H185" s="15">
        <f t="shared" si="29"/>
        <v>0</v>
      </c>
      <c r="I185" s="5">
        <v>0</v>
      </c>
      <c r="J185" s="5">
        <f t="shared" si="33"/>
        <v>0</v>
      </c>
      <c r="K185" s="5">
        <v>0</v>
      </c>
      <c r="L185" s="6">
        <f t="shared" si="34"/>
        <v>200000</v>
      </c>
    </row>
    <row r="186" spans="1:12" x14ac:dyDescent="0.45">
      <c r="A186" s="10">
        <f t="shared" si="30"/>
        <v>185</v>
      </c>
      <c r="B186" s="5" t="s">
        <v>254</v>
      </c>
      <c r="C186" s="5" t="s">
        <v>22</v>
      </c>
      <c r="D186" s="5">
        <f t="shared" si="31"/>
        <v>20000</v>
      </c>
      <c r="E186" s="5">
        <v>1</v>
      </c>
      <c r="F186" s="5">
        <f t="shared" si="32"/>
        <v>0</v>
      </c>
      <c r="G186" s="5">
        <v>0</v>
      </c>
      <c r="H186" s="15">
        <f t="shared" si="29"/>
        <v>0</v>
      </c>
      <c r="I186" s="5">
        <v>0</v>
      </c>
      <c r="J186" s="5">
        <f t="shared" si="33"/>
        <v>0</v>
      </c>
      <c r="K186" s="5">
        <v>0</v>
      </c>
      <c r="L186" s="6">
        <f t="shared" si="34"/>
        <v>180000</v>
      </c>
    </row>
    <row r="187" spans="1:12" x14ac:dyDescent="0.45">
      <c r="A187" s="10">
        <f t="shared" si="30"/>
        <v>186</v>
      </c>
      <c r="B187" s="5" t="s">
        <v>255</v>
      </c>
      <c r="C187" s="5" t="s">
        <v>22</v>
      </c>
      <c r="D187" s="5">
        <f t="shared" si="31"/>
        <v>0</v>
      </c>
      <c r="E187" s="5">
        <v>0</v>
      </c>
      <c r="F187" s="5">
        <f t="shared" si="32"/>
        <v>0</v>
      </c>
      <c r="G187" s="5">
        <v>0</v>
      </c>
      <c r="H187" s="15">
        <f t="shared" si="29"/>
        <v>0</v>
      </c>
      <c r="I187" s="5">
        <v>0</v>
      </c>
      <c r="J187" s="5">
        <f t="shared" si="33"/>
        <v>0</v>
      </c>
      <c r="K187" s="5">
        <v>0</v>
      </c>
      <c r="L187" s="6">
        <f t="shared" si="34"/>
        <v>200000</v>
      </c>
    </row>
    <row r="188" spans="1:12" x14ac:dyDescent="0.45">
      <c r="A188" s="10">
        <f t="shared" si="30"/>
        <v>187</v>
      </c>
      <c r="B188" s="5" t="s">
        <v>256</v>
      </c>
      <c r="C188" s="5" t="s">
        <v>22</v>
      </c>
      <c r="D188" s="5">
        <f t="shared" si="31"/>
        <v>0</v>
      </c>
      <c r="E188" s="5">
        <v>0</v>
      </c>
      <c r="F188" s="5">
        <f t="shared" si="32"/>
        <v>0</v>
      </c>
      <c r="G188" s="5">
        <v>0</v>
      </c>
      <c r="H188" s="15">
        <f t="shared" si="29"/>
        <v>0</v>
      </c>
      <c r="I188" s="5">
        <v>0</v>
      </c>
      <c r="J188" s="5">
        <f t="shared" si="33"/>
        <v>20000</v>
      </c>
      <c r="K188" s="5">
        <v>1</v>
      </c>
      <c r="L188" s="6">
        <f t="shared" si="34"/>
        <v>180000</v>
      </c>
    </row>
    <row r="189" spans="1:12" x14ac:dyDescent="0.45">
      <c r="A189" s="10">
        <f t="shared" si="30"/>
        <v>188</v>
      </c>
      <c r="B189" s="5" t="s">
        <v>257</v>
      </c>
      <c r="C189" s="5" t="s">
        <v>22</v>
      </c>
      <c r="D189" s="5">
        <f t="shared" si="31"/>
        <v>0</v>
      </c>
      <c r="E189" s="5">
        <v>0</v>
      </c>
      <c r="F189" s="5">
        <f t="shared" si="32"/>
        <v>0</v>
      </c>
      <c r="G189" s="5">
        <v>0</v>
      </c>
      <c r="H189" s="15">
        <f t="shared" si="29"/>
        <v>0</v>
      </c>
      <c r="I189" s="5">
        <v>0</v>
      </c>
      <c r="J189" s="5">
        <f t="shared" si="33"/>
        <v>0</v>
      </c>
      <c r="K189" s="5">
        <v>0</v>
      </c>
      <c r="L189" s="6">
        <f t="shared" si="34"/>
        <v>200000</v>
      </c>
    </row>
    <row r="190" spans="1:12" x14ac:dyDescent="0.45">
      <c r="A190" s="10">
        <f t="shared" si="30"/>
        <v>189</v>
      </c>
      <c r="B190" s="5" t="s">
        <v>258</v>
      </c>
      <c r="C190" s="5" t="s">
        <v>22</v>
      </c>
      <c r="D190" s="5">
        <f t="shared" si="31"/>
        <v>0</v>
      </c>
      <c r="E190" s="5">
        <v>0</v>
      </c>
      <c r="F190" s="5">
        <f t="shared" si="32"/>
        <v>0</v>
      </c>
      <c r="G190" s="5">
        <v>0</v>
      </c>
      <c r="H190" s="15">
        <f t="shared" si="29"/>
        <v>0</v>
      </c>
      <c r="I190" s="5">
        <v>0</v>
      </c>
      <c r="J190" s="5">
        <f t="shared" si="33"/>
        <v>0</v>
      </c>
      <c r="K190" s="5">
        <v>0</v>
      </c>
      <c r="L190" s="6">
        <f t="shared" si="34"/>
        <v>200000</v>
      </c>
    </row>
    <row r="191" spans="1:12" x14ac:dyDescent="0.45">
      <c r="A191" s="10">
        <f t="shared" si="30"/>
        <v>190</v>
      </c>
      <c r="B191" s="5" t="s">
        <v>259</v>
      </c>
      <c r="C191" s="5" t="s">
        <v>22</v>
      </c>
      <c r="D191" s="5">
        <f t="shared" si="31"/>
        <v>0</v>
      </c>
      <c r="E191" s="5">
        <v>0</v>
      </c>
      <c r="F191" s="5">
        <f t="shared" si="32"/>
        <v>0</v>
      </c>
      <c r="G191" s="5">
        <v>0</v>
      </c>
      <c r="H191" s="15">
        <f t="shared" si="29"/>
        <v>0</v>
      </c>
      <c r="I191" s="5">
        <v>0</v>
      </c>
      <c r="J191" s="5">
        <f t="shared" si="33"/>
        <v>0</v>
      </c>
      <c r="K191" s="5">
        <v>0</v>
      </c>
      <c r="L191" s="6">
        <f t="shared" si="34"/>
        <v>200000</v>
      </c>
    </row>
    <row r="192" spans="1:12" x14ac:dyDescent="0.45">
      <c r="A192" s="10">
        <f t="shared" si="30"/>
        <v>191</v>
      </c>
      <c r="B192" s="5" t="s">
        <v>260</v>
      </c>
      <c r="C192" s="5" t="s">
        <v>22</v>
      </c>
      <c r="D192" s="5">
        <f t="shared" si="31"/>
        <v>0</v>
      </c>
      <c r="E192" s="5">
        <v>0</v>
      </c>
      <c r="F192" s="5">
        <f t="shared" si="32"/>
        <v>80000</v>
      </c>
      <c r="G192" s="5">
        <v>1</v>
      </c>
      <c r="H192" s="15">
        <f t="shared" si="29"/>
        <v>0</v>
      </c>
      <c r="I192" s="5">
        <v>0</v>
      </c>
      <c r="J192" s="5">
        <f t="shared" si="33"/>
        <v>20000</v>
      </c>
      <c r="K192" s="5">
        <v>1</v>
      </c>
      <c r="L192" s="6">
        <f t="shared" si="34"/>
        <v>100000</v>
      </c>
    </row>
    <row r="193" spans="1:12" x14ac:dyDescent="0.45">
      <c r="A193" s="10">
        <f t="shared" si="30"/>
        <v>192</v>
      </c>
      <c r="B193" s="5" t="s">
        <v>261</v>
      </c>
      <c r="C193" s="5" t="s">
        <v>22</v>
      </c>
      <c r="D193" s="5">
        <f t="shared" si="31"/>
        <v>20000</v>
      </c>
      <c r="E193" s="5">
        <v>1</v>
      </c>
      <c r="F193" s="5">
        <f t="shared" si="32"/>
        <v>0</v>
      </c>
      <c r="G193" s="5">
        <v>0</v>
      </c>
      <c r="H193" s="15">
        <f t="shared" si="29"/>
        <v>0</v>
      </c>
      <c r="I193" s="5">
        <v>0</v>
      </c>
      <c r="J193" s="5">
        <f t="shared" si="33"/>
        <v>0</v>
      </c>
      <c r="K193" s="5">
        <v>0</v>
      </c>
      <c r="L193" s="6">
        <f t="shared" si="34"/>
        <v>180000</v>
      </c>
    </row>
    <row r="194" spans="1:12" x14ac:dyDescent="0.45">
      <c r="A194" s="10">
        <f t="shared" si="30"/>
        <v>193</v>
      </c>
      <c r="B194" s="5" t="s">
        <v>262</v>
      </c>
      <c r="C194" s="5" t="s">
        <v>22</v>
      </c>
      <c r="D194" s="5">
        <f t="shared" si="31"/>
        <v>0</v>
      </c>
      <c r="E194" s="5">
        <v>0</v>
      </c>
      <c r="F194" s="5">
        <f t="shared" si="32"/>
        <v>0</v>
      </c>
      <c r="G194" s="5">
        <v>0</v>
      </c>
      <c r="H194" s="15">
        <f t="shared" si="29"/>
        <v>0</v>
      </c>
      <c r="I194" s="5">
        <v>0</v>
      </c>
      <c r="J194" s="5">
        <f t="shared" si="33"/>
        <v>0</v>
      </c>
      <c r="K194" s="5">
        <v>0</v>
      </c>
      <c r="L194" s="6">
        <f t="shared" si="34"/>
        <v>200000</v>
      </c>
    </row>
    <row r="195" spans="1:12" x14ac:dyDescent="0.45">
      <c r="A195" s="10">
        <f t="shared" si="30"/>
        <v>194</v>
      </c>
      <c r="B195" s="5" t="s">
        <v>263</v>
      </c>
      <c r="C195" s="5" t="s">
        <v>22</v>
      </c>
      <c r="D195" s="5">
        <f t="shared" si="31"/>
        <v>0</v>
      </c>
      <c r="E195" s="5">
        <v>0</v>
      </c>
      <c r="F195" s="5">
        <f t="shared" si="32"/>
        <v>0</v>
      </c>
      <c r="G195" s="5">
        <v>0</v>
      </c>
      <c r="H195" s="15">
        <f t="shared" si="29"/>
        <v>30000</v>
      </c>
      <c r="I195" s="5">
        <v>1</v>
      </c>
      <c r="J195" s="5">
        <f t="shared" si="33"/>
        <v>0</v>
      </c>
      <c r="K195" s="5">
        <v>0</v>
      </c>
      <c r="L195" s="6">
        <f t="shared" si="34"/>
        <v>170000</v>
      </c>
    </row>
    <row r="196" spans="1:12" x14ac:dyDescent="0.45">
      <c r="A196" s="10">
        <f t="shared" si="30"/>
        <v>195</v>
      </c>
      <c r="B196" s="5" t="s">
        <v>264</v>
      </c>
      <c r="C196" s="5" t="s">
        <v>22</v>
      </c>
      <c r="D196" s="5">
        <f t="shared" si="31"/>
        <v>0</v>
      </c>
      <c r="E196" s="5">
        <v>0</v>
      </c>
      <c r="F196" s="5">
        <f t="shared" si="32"/>
        <v>160000</v>
      </c>
      <c r="G196" s="5">
        <v>2</v>
      </c>
      <c r="H196" s="15">
        <f t="shared" si="29"/>
        <v>0</v>
      </c>
      <c r="I196" s="5">
        <v>0</v>
      </c>
      <c r="J196" s="5">
        <f t="shared" si="33"/>
        <v>20000</v>
      </c>
      <c r="K196" s="5">
        <v>1</v>
      </c>
      <c r="L196" s="6">
        <f t="shared" si="34"/>
        <v>20000</v>
      </c>
    </row>
    <row r="197" spans="1:12" x14ac:dyDescent="0.45">
      <c r="A197" s="10">
        <f t="shared" si="30"/>
        <v>196</v>
      </c>
      <c r="B197" s="5" t="s">
        <v>265</v>
      </c>
      <c r="C197" s="5" t="s">
        <v>22</v>
      </c>
      <c r="D197" s="5">
        <f t="shared" si="31"/>
        <v>0</v>
      </c>
      <c r="E197" s="5">
        <v>0</v>
      </c>
      <c r="F197" s="5">
        <f t="shared" si="32"/>
        <v>0</v>
      </c>
      <c r="G197" s="5">
        <v>0</v>
      </c>
      <c r="H197" s="15">
        <f t="shared" si="29"/>
        <v>30000</v>
      </c>
      <c r="I197" s="5">
        <v>1</v>
      </c>
      <c r="J197" s="5">
        <f t="shared" si="33"/>
        <v>0</v>
      </c>
      <c r="K197" s="5">
        <v>0</v>
      </c>
      <c r="L197" s="6">
        <f t="shared" si="34"/>
        <v>170000</v>
      </c>
    </row>
    <row r="198" spans="1:12" x14ac:dyDescent="0.45">
      <c r="A198" s="10">
        <f t="shared" si="30"/>
        <v>197</v>
      </c>
      <c r="B198" s="5" t="s">
        <v>266</v>
      </c>
      <c r="C198" s="5" t="s">
        <v>22</v>
      </c>
      <c r="D198" s="5">
        <f t="shared" si="31"/>
        <v>0</v>
      </c>
      <c r="E198" s="5">
        <v>0</v>
      </c>
      <c r="F198" s="5">
        <f t="shared" si="32"/>
        <v>0</v>
      </c>
      <c r="G198" s="5">
        <v>0</v>
      </c>
      <c r="H198" s="15">
        <f t="shared" si="29"/>
        <v>0</v>
      </c>
      <c r="I198" s="5">
        <v>0</v>
      </c>
      <c r="J198" s="5">
        <f t="shared" si="33"/>
        <v>0</v>
      </c>
      <c r="K198" s="5">
        <v>0</v>
      </c>
      <c r="L198" s="6">
        <f t="shared" si="34"/>
        <v>200000</v>
      </c>
    </row>
    <row r="199" spans="1:12" x14ac:dyDescent="0.45">
      <c r="A199" s="10">
        <f t="shared" si="30"/>
        <v>198</v>
      </c>
      <c r="B199" s="5" t="s">
        <v>267</v>
      </c>
      <c r="C199" s="5" t="s">
        <v>22</v>
      </c>
      <c r="D199" s="5">
        <f t="shared" si="31"/>
        <v>0</v>
      </c>
      <c r="E199" s="5">
        <v>0</v>
      </c>
      <c r="F199" s="5">
        <f t="shared" si="32"/>
        <v>0</v>
      </c>
      <c r="G199" s="5">
        <v>0</v>
      </c>
      <c r="H199" s="15">
        <f t="shared" si="29"/>
        <v>0</v>
      </c>
      <c r="I199" s="5">
        <v>0</v>
      </c>
      <c r="J199" s="5">
        <f t="shared" si="33"/>
        <v>20000</v>
      </c>
      <c r="K199" s="5">
        <v>1</v>
      </c>
      <c r="L199" s="6">
        <f t="shared" si="34"/>
        <v>180000</v>
      </c>
    </row>
    <row r="200" spans="1:12" x14ac:dyDescent="0.45">
      <c r="A200" s="10">
        <f t="shared" si="30"/>
        <v>199</v>
      </c>
      <c r="B200" s="5" t="s">
        <v>268</v>
      </c>
      <c r="C200" s="5" t="s">
        <v>22</v>
      </c>
      <c r="D200" s="5">
        <f t="shared" si="31"/>
        <v>0</v>
      </c>
      <c r="E200" s="5">
        <v>0</v>
      </c>
      <c r="F200" s="5">
        <f t="shared" si="32"/>
        <v>0</v>
      </c>
      <c r="G200" s="5">
        <v>0</v>
      </c>
      <c r="H200" s="15">
        <f t="shared" si="29"/>
        <v>0</v>
      </c>
      <c r="I200" s="5">
        <v>0</v>
      </c>
      <c r="J200" s="5">
        <f t="shared" si="33"/>
        <v>0</v>
      </c>
      <c r="K200" s="5">
        <v>0</v>
      </c>
      <c r="L200" s="6">
        <f t="shared" si="34"/>
        <v>200000</v>
      </c>
    </row>
    <row r="201" spans="1:12" x14ac:dyDescent="0.45">
      <c r="A201" s="10">
        <f t="shared" si="30"/>
        <v>200</v>
      </c>
      <c r="B201" s="5" t="s">
        <v>269</v>
      </c>
      <c r="C201" s="5" t="s">
        <v>22</v>
      </c>
      <c r="D201" s="5">
        <f t="shared" si="31"/>
        <v>0</v>
      </c>
      <c r="E201" s="5">
        <v>0</v>
      </c>
      <c r="F201" s="5">
        <f t="shared" si="32"/>
        <v>0</v>
      </c>
      <c r="G201" s="5">
        <v>0</v>
      </c>
      <c r="H201" s="15">
        <f t="shared" si="29"/>
        <v>0</v>
      </c>
      <c r="I201" s="5">
        <v>0</v>
      </c>
      <c r="J201" s="5">
        <f t="shared" si="33"/>
        <v>20000</v>
      </c>
      <c r="K201" s="5">
        <v>1</v>
      </c>
      <c r="L201" s="6">
        <f t="shared" si="34"/>
        <v>180000</v>
      </c>
    </row>
    <row r="202" spans="1:12" x14ac:dyDescent="0.45">
      <c r="A202" s="10">
        <f t="shared" si="30"/>
        <v>201</v>
      </c>
      <c r="B202" s="5" t="s">
        <v>270</v>
      </c>
      <c r="C202" s="5" t="s">
        <v>22</v>
      </c>
      <c r="D202" s="5">
        <f t="shared" si="31"/>
        <v>0</v>
      </c>
      <c r="E202" s="5">
        <v>0</v>
      </c>
      <c r="F202" s="5">
        <f t="shared" si="32"/>
        <v>0</v>
      </c>
      <c r="G202" s="5">
        <v>0</v>
      </c>
      <c r="H202" s="15">
        <f t="shared" si="29"/>
        <v>30000</v>
      </c>
      <c r="I202" s="5">
        <v>1</v>
      </c>
      <c r="J202" s="5">
        <f t="shared" si="33"/>
        <v>0</v>
      </c>
      <c r="K202" s="5">
        <v>0</v>
      </c>
      <c r="L202" s="6">
        <f t="shared" si="34"/>
        <v>170000</v>
      </c>
    </row>
    <row r="203" spans="1:12" x14ac:dyDescent="0.45">
      <c r="A203" s="10">
        <f t="shared" si="30"/>
        <v>202</v>
      </c>
      <c r="B203" s="5" t="s">
        <v>271</v>
      </c>
      <c r="C203" s="5" t="s">
        <v>22</v>
      </c>
      <c r="D203" s="5">
        <f t="shared" si="31"/>
        <v>0</v>
      </c>
      <c r="E203" s="5">
        <v>0</v>
      </c>
      <c r="F203" s="5">
        <f t="shared" si="32"/>
        <v>0</v>
      </c>
      <c r="G203" s="5">
        <v>0</v>
      </c>
      <c r="H203" s="15">
        <f t="shared" si="29"/>
        <v>30000</v>
      </c>
      <c r="I203" s="5">
        <v>1</v>
      </c>
      <c r="J203" s="5">
        <f t="shared" si="33"/>
        <v>20000</v>
      </c>
      <c r="K203" s="5">
        <v>1</v>
      </c>
      <c r="L203" s="6">
        <f t="shared" si="34"/>
        <v>150000</v>
      </c>
    </row>
    <row r="204" spans="1:12" x14ac:dyDescent="0.45">
      <c r="A204" s="10">
        <f t="shared" si="30"/>
        <v>203</v>
      </c>
      <c r="B204" s="5" t="s">
        <v>272</v>
      </c>
      <c r="C204" s="5" t="s">
        <v>22</v>
      </c>
      <c r="D204" s="5">
        <f t="shared" si="31"/>
        <v>0</v>
      </c>
      <c r="E204" s="5">
        <v>0</v>
      </c>
      <c r="F204" s="5">
        <f t="shared" si="32"/>
        <v>80000</v>
      </c>
      <c r="G204" s="5">
        <v>1</v>
      </c>
      <c r="H204" s="15">
        <f t="shared" si="29"/>
        <v>0</v>
      </c>
      <c r="I204" s="5">
        <v>0</v>
      </c>
      <c r="J204" s="5">
        <f t="shared" si="33"/>
        <v>0</v>
      </c>
      <c r="K204" s="5">
        <v>0</v>
      </c>
      <c r="L204" s="6">
        <f t="shared" si="34"/>
        <v>120000</v>
      </c>
    </row>
    <row r="205" spans="1:12" x14ac:dyDescent="0.45">
      <c r="A205" s="10">
        <f t="shared" si="30"/>
        <v>204</v>
      </c>
      <c r="B205" s="5" t="s">
        <v>273</v>
      </c>
      <c r="C205" s="5" t="s">
        <v>22</v>
      </c>
      <c r="D205" s="5">
        <f t="shared" si="31"/>
        <v>0</v>
      </c>
      <c r="E205" s="5">
        <v>0</v>
      </c>
      <c r="F205" s="5">
        <f t="shared" si="32"/>
        <v>80000</v>
      </c>
      <c r="G205" s="5">
        <v>1</v>
      </c>
      <c r="H205" s="15">
        <f t="shared" si="29"/>
        <v>0</v>
      </c>
      <c r="I205" s="5">
        <v>0</v>
      </c>
      <c r="J205" s="5">
        <f t="shared" si="33"/>
        <v>0</v>
      </c>
      <c r="K205" s="5">
        <v>0</v>
      </c>
      <c r="L205" s="6">
        <f t="shared" si="34"/>
        <v>120000</v>
      </c>
    </row>
    <row r="206" spans="1:12" x14ac:dyDescent="0.45">
      <c r="A206" s="10">
        <f t="shared" si="30"/>
        <v>205</v>
      </c>
      <c r="B206" s="5" t="s">
        <v>274</v>
      </c>
      <c r="C206" s="5" t="s">
        <v>22</v>
      </c>
      <c r="D206" s="5">
        <f t="shared" si="31"/>
        <v>0</v>
      </c>
      <c r="E206" s="5">
        <v>0</v>
      </c>
      <c r="F206" s="5">
        <f t="shared" si="32"/>
        <v>80000</v>
      </c>
      <c r="G206" s="5">
        <v>1</v>
      </c>
      <c r="H206" s="15">
        <f t="shared" si="29"/>
        <v>0</v>
      </c>
      <c r="I206" s="5">
        <v>0</v>
      </c>
      <c r="J206" s="5">
        <f t="shared" si="33"/>
        <v>20000</v>
      </c>
      <c r="K206" s="5">
        <v>1</v>
      </c>
      <c r="L206" s="6">
        <f t="shared" si="34"/>
        <v>100000</v>
      </c>
    </row>
    <row r="207" spans="1:12" x14ac:dyDescent="0.45">
      <c r="A207" s="10">
        <f t="shared" si="30"/>
        <v>206</v>
      </c>
      <c r="B207" s="5" t="s">
        <v>275</v>
      </c>
      <c r="C207" s="5" t="s">
        <v>22</v>
      </c>
      <c r="D207" s="5">
        <f t="shared" si="31"/>
        <v>0</v>
      </c>
      <c r="E207" s="5">
        <v>0</v>
      </c>
      <c r="F207" s="5">
        <f t="shared" si="32"/>
        <v>0</v>
      </c>
      <c r="G207" s="5">
        <v>0</v>
      </c>
      <c r="H207" s="15">
        <f t="shared" si="29"/>
        <v>0</v>
      </c>
      <c r="I207" s="5">
        <v>0</v>
      </c>
      <c r="J207" s="5">
        <f t="shared" si="33"/>
        <v>0</v>
      </c>
      <c r="K207" s="5">
        <v>0</v>
      </c>
      <c r="L207" s="6">
        <f t="shared" si="34"/>
        <v>200000</v>
      </c>
    </row>
    <row r="208" spans="1:12" x14ac:dyDescent="0.45">
      <c r="A208" s="10">
        <f t="shared" si="30"/>
        <v>207</v>
      </c>
      <c r="B208" s="5" t="s">
        <v>276</v>
      </c>
      <c r="C208" s="5" t="s">
        <v>22</v>
      </c>
      <c r="D208" s="5">
        <f t="shared" si="31"/>
        <v>0</v>
      </c>
      <c r="E208" s="5">
        <v>0</v>
      </c>
      <c r="F208" s="5">
        <f t="shared" si="32"/>
        <v>0</v>
      </c>
      <c r="G208" s="5">
        <v>0</v>
      </c>
      <c r="H208" s="15">
        <f t="shared" si="29"/>
        <v>0</v>
      </c>
      <c r="I208" s="5">
        <v>0</v>
      </c>
      <c r="J208" s="5">
        <f t="shared" si="33"/>
        <v>0</v>
      </c>
      <c r="K208" s="5">
        <v>0</v>
      </c>
      <c r="L208" s="6">
        <f t="shared" si="34"/>
        <v>200000</v>
      </c>
    </row>
    <row r="209" spans="1:12" x14ac:dyDescent="0.45">
      <c r="A209" s="10">
        <f t="shared" si="30"/>
        <v>208</v>
      </c>
      <c r="B209" s="5" t="s">
        <v>277</v>
      </c>
      <c r="C209" s="5" t="s">
        <v>22</v>
      </c>
      <c r="D209" s="5">
        <f t="shared" si="31"/>
        <v>0</v>
      </c>
      <c r="E209" s="5">
        <v>0</v>
      </c>
      <c r="F209" s="5">
        <f t="shared" si="32"/>
        <v>0</v>
      </c>
      <c r="G209" s="5">
        <v>0</v>
      </c>
      <c r="H209" s="15">
        <f t="shared" si="29"/>
        <v>0</v>
      </c>
      <c r="I209" s="5">
        <v>0</v>
      </c>
      <c r="J209" s="5">
        <f t="shared" si="33"/>
        <v>0</v>
      </c>
      <c r="K209" s="5">
        <v>0</v>
      </c>
      <c r="L209" s="6">
        <f t="shared" si="34"/>
        <v>200000</v>
      </c>
    </row>
    <row r="210" spans="1:12" x14ac:dyDescent="0.45">
      <c r="A210" s="10">
        <f t="shared" si="30"/>
        <v>209</v>
      </c>
      <c r="B210" s="5" t="s">
        <v>278</v>
      </c>
      <c r="C210" s="5" t="s">
        <v>22</v>
      </c>
      <c r="D210" s="5">
        <f t="shared" si="31"/>
        <v>0</v>
      </c>
      <c r="E210" s="5">
        <v>0</v>
      </c>
      <c r="F210" s="5">
        <f t="shared" si="32"/>
        <v>0</v>
      </c>
      <c r="G210" s="5">
        <v>0</v>
      </c>
      <c r="H210" s="15">
        <f t="shared" si="29"/>
        <v>0</v>
      </c>
      <c r="I210" s="5">
        <v>0</v>
      </c>
      <c r="J210" s="5">
        <f t="shared" si="33"/>
        <v>20000</v>
      </c>
      <c r="K210" s="5">
        <v>1</v>
      </c>
      <c r="L210" s="6">
        <f t="shared" si="34"/>
        <v>180000</v>
      </c>
    </row>
    <row r="211" spans="1:12" x14ac:dyDescent="0.45">
      <c r="A211" s="10">
        <f>ROW(A211)-1</f>
        <v>210</v>
      </c>
      <c r="B211" s="5" t="s">
        <v>279</v>
      </c>
      <c r="C211" s="5" t="s">
        <v>22</v>
      </c>
      <c r="D211" s="5">
        <f>E211*20000</f>
        <v>0</v>
      </c>
      <c r="E211" s="5">
        <v>0</v>
      </c>
      <c r="F211" s="5">
        <f>G211*40000*2</f>
        <v>0</v>
      </c>
      <c r="G211" s="5">
        <v>0</v>
      </c>
      <c r="H211" s="5"/>
      <c r="I211" s="5">
        <v>0</v>
      </c>
      <c r="J211" s="5">
        <f>K211*20000</f>
        <v>0</v>
      </c>
      <c r="K211" s="5">
        <v>0</v>
      </c>
      <c r="L211" s="6">
        <f>200000-H211-F211-D211-J211</f>
        <v>200000</v>
      </c>
    </row>
    <row r="212" spans="1:12" x14ac:dyDescent="0.45">
      <c r="A212" s="10">
        <f t="shared" ref="A212:A241" si="35">ROW(A212)-1</f>
        <v>211</v>
      </c>
      <c r="B212" s="5" t="s">
        <v>280</v>
      </c>
      <c r="C212" s="5" t="s">
        <v>22</v>
      </c>
      <c r="D212" s="5">
        <f t="shared" ref="D212:D241" si="36">E212*20000</f>
        <v>0</v>
      </c>
      <c r="E212" s="5">
        <v>0</v>
      </c>
      <c r="F212" s="5">
        <f t="shared" ref="F212:F241" si="37">G212*40000*2</f>
        <v>0</v>
      </c>
      <c r="G212" s="5">
        <v>0</v>
      </c>
      <c r="H212" s="5"/>
      <c r="I212" s="5">
        <v>0</v>
      </c>
      <c r="J212" s="5">
        <f t="shared" ref="J212:J241" si="38">K212*20000</f>
        <v>0</v>
      </c>
      <c r="K212" s="5">
        <v>0</v>
      </c>
      <c r="L212" s="6">
        <f t="shared" ref="L212:L241" si="39">200000-H212-F212-D212-J212</f>
        <v>200000</v>
      </c>
    </row>
    <row r="213" spans="1:12" x14ac:dyDescent="0.45">
      <c r="A213" s="10">
        <f t="shared" si="35"/>
        <v>212</v>
      </c>
      <c r="B213" s="5" t="s">
        <v>281</v>
      </c>
      <c r="C213" s="5" t="s">
        <v>22</v>
      </c>
      <c r="D213" s="5">
        <f t="shared" si="36"/>
        <v>0</v>
      </c>
      <c r="E213" s="5">
        <v>0</v>
      </c>
      <c r="F213" s="5">
        <f t="shared" si="37"/>
        <v>0</v>
      </c>
      <c r="G213" s="5">
        <v>0</v>
      </c>
      <c r="H213" s="5"/>
      <c r="I213" s="5">
        <v>0</v>
      </c>
      <c r="J213" s="5">
        <f t="shared" si="38"/>
        <v>0</v>
      </c>
      <c r="K213" s="5">
        <v>0</v>
      </c>
      <c r="L213" s="6">
        <f t="shared" si="39"/>
        <v>200000</v>
      </c>
    </row>
    <row r="214" spans="1:12" x14ac:dyDescent="0.45">
      <c r="A214" s="10">
        <f t="shared" si="35"/>
        <v>213</v>
      </c>
      <c r="B214" s="5" t="s">
        <v>282</v>
      </c>
      <c r="C214" s="5" t="s">
        <v>22</v>
      </c>
      <c r="D214" s="5">
        <f t="shared" si="36"/>
        <v>0</v>
      </c>
      <c r="E214" s="5">
        <v>0</v>
      </c>
      <c r="F214" s="5">
        <f t="shared" si="37"/>
        <v>0</v>
      </c>
      <c r="G214" s="5">
        <v>0</v>
      </c>
      <c r="H214" s="5"/>
      <c r="I214" s="5">
        <v>0</v>
      </c>
      <c r="J214" s="5">
        <f t="shared" si="38"/>
        <v>20000</v>
      </c>
      <c r="K214" s="5">
        <v>1</v>
      </c>
      <c r="L214" s="6">
        <f t="shared" si="39"/>
        <v>180000</v>
      </c>
    </row>
    <row r="215" spans="1:12" x14ac:dyDescent="0.45">
      <c r="A215" s="10">
        <f t="shared" si="35"/>
        <v>214</v>
      </c>
      <c r="B215" s="5" t="s">
        <v>283</v>
      </c>
      <c r="C215" s="5" t="s">
        <v>22</v>
      </c>
      <c r="D215" s="5">
        <f t="shared" si="36"/>
        <v>20000</v>
      </c>
      <c r="E215" s="5">
        <v>1</v>
      </c>
      <c r="F215" s="5">
        <f t="shared" si="37"/>
        <v>80000</v>
      </c>
      <c r="G215" s="5">
        <v>1</v>
      </c>
      <c r="H215" s="5"/>
      <c r="I215" s="5">
        <v>0</v>
      </c>
      <c r="J215" s="5">
        <f t="shared" si="38"/>
        <v>20000</v>
      </c>
      <c r="K215" s="5">
        <v>1</v>
      </c>
      <c r="L215" s="6">
        <f t="shared" si="39"/>
        <v>80000</v>
      </c>
    </row>
    <row r="216" spans="1:12" x14ac:dyDescent="0.45">
      <c r="A216" s="10">
        <f t="shared" si="35"/>
        <v>215</v>
      </c>
      <c r="B216" s="5" t="s">
        <v>284</v>
      </c>
      <c r="C216" s="5" t="s">
        <v>22</v>
      </c>
      <c r="D216" s="5">
        <f t="shared" si="36"/>
        <v>0</v>
      </c>
      <c r="E216" s="5">
        <v>0</v>
      </c>
      <c r="F216" s="5">
        <f t="shared" si="37"/>
        <v>0</v>
      </c>
      <c r="G216" s="5">
        <v>0</v>
      </c>
      <c r="H216" s="5"/>
      <c r="I216" s="5">
        <v>0</v>
      </c>
      <c r="J216" s="5">
        <f t="shared" si="38"/>
        <v>0</v>
      </c>
      <c r="K216" s="5">
        <v>0</v>
      </c>
      <c r="L216" s="6">
        <f t="shared" si="39"/>
        <v>200000</v>
      </c>
    </row>
    <row r="217" spans="1:12" x14ac:dyDescent="0.45">
      <c r="A217" s="10">
        <f t="shared" si="35"/>
        <v>216</v>
      </c>
      <c r="B217" s="5" t="s">
        <v>285</v>
      </c>
      <c r="C217" s="5" t="s">
        <v>22</v>
      </c>
      <c r="D217" s="5">
        <f t="shared" si="36"/>
        <v>0</v>
      </c>
      <c r="E217" s="5">
        <v>0</v>
      </c>
      <c r="F217" s="5">
        <f t="shared" si="37"/>
        <v>0</v>
      </c>
      <c r="G217" s="5">
        <v>0</v>
      </c>
      <c r="H217" s="5"/>
      <c r="I217" s="5">
        <v>0</v>
      </c>
      <c r="J217" s="5">
        <f t="shared" si="38"/>
        <v>0</v>
      </c>
      <c r="K217" s="5">
        <v>0</v>
      </c>
      <c r="L217" s="6">
        <f t="shared" si="39"/>
        <v>200000</v>
      </c>
    </row>
    <row r="218" spans="1:12" x14ac:dyDescent="0.45">
      <c r="A218" s="10">
        <f t="shared" si="35"/>
        <v>217</v>
      </c>
      <c r="B218" s="5" t="s">
        <v>286</v>
      </c>
      <c r="C218" s="5" t="s">
        <v>22</v>
      </c>
      <c r="D218" s="5">
        <f t="shared" si="36"/>
        <v>0</v>
      </c>
      <c r="E218" s="5">
        <v>0</v>
      </c>
      <c r="F218" s="5">
        <f t="shared" si="37"/>
        <v>0</v>
      </c>
      <c r="G218" s="5">
        <v>0</v>
      </c>
      <c r="H218" s="5"/>
      <c r="I218" s="5">
        <v>0</v>
      </c>
      <c r="J218" s="5">
        <f t="shared" si="38"/>
        <v>0</v>
      </c>
      <c r="K218" s="5">
        <v>0</v>
      </c>
      <c r="L218" s="6">
        <f t="shared" si="39"/>
        <v>200000</v>
      </c>
    </row>
    <row r="219" spans="1:12" x14ac:dyDescent="0.45">
      <c r="A219" s="10">
        <f t="shared" si="35"/>
        <v>218</v>
      </c>
      <c r="B219" s="5" t="s">
        <v>287</v>
      </c>
      <c r="C219" s="5" t="s">
        <v>22</v>
      </c>
      <c r="D219" s="5">
        <f t="shared" si="36"/>
        <v>0</v>
      </c>
      <c r="E219" s="5">
        <v>0</v>
      </c>
      <c r="F219" s="5">
        <f t="shared" si="37"/>
        <v>80000</v>
      </c>
      <c r="G219" s="5">
        <v>1</v>
      </c>
      <c r="H219" s="5"/>
      <c r="I219" s="5">
        <v>0</v>
      </c>
      <c r="J219" s="5">
        <f t="shared" si="38"/>
        <v>20000</v>
      </c>
      <c r="K219" s="5">
        <v>1</v>
      </c>
      <c r="L219" s="6">
        <f t="shared" si="39"/>
        <v>100000</v>
      </c>
    </row>
    <row r="220" spans="1:12" x14ac:dyDescent="0.45">
      <c r="A220" s="10">
        <f t="shared" si="35"/>
        <v>219</v>
      </c>
      <c r="B220" s="5" t="s">
        <v>288</v>
      </c>
      <c r="C220" s="5" t="s">
        <v>22</v>
      </c>
      <c r="D220" s="5">
        <f t="shared" si="36"/>
        <v>0</v>
      </c>
      <c r="E220" s="5">
        <v>0</v>
      </c>
      <c r="F220" s="5">
        <f t="shared" si="37"/>
        <v>0</v>
      </c>
      <c r="G220" s="5">
        <v>0</v>
      </c>
      <c r="H220" s="5"/>
      <c r="I220" s="5">
        <v>0</v>
      </c>
      <c r="J220" s="5">
        <f t="shared" si="38"/>
        <v>20000</v>
      </c>
      <c r="K220" s="5">
        <v>1</v>
      </c>
      <c r="L220" s="6">
        <f t="shared" si="39"/>
        <v>180000</v>
      </c>
    </row>
    <row r="221" spans="1:12" x14ac:dyDescent="0.45">
      <c r="A221" s="10">
        <f t="shared" si="35"/>
        <v>220</v>
      </c>
      <c r="B221" s="5" t="s">
        <v>289</v>
      </c>
      <c r="C221" s="5" t="s">
        <v>22</v>
      </c>
      <c r="D221" s="5">
        <f t="shared" si="36"/>
        <v>0</v>
      </c>
      <c r="E221" s="5">
        <v>0</v>
      </c>
      <c r="F221" s="5">
        <f t="shared" si="37"/>
        <v>0</v>
      </c>
      <c r="G221" s="5">
        <v>0</v>
      </c>
      <c r="H221" s="5"/>
      <c r="I221" s="5">
        <v>0</v>
      </c>
      <c r="J221" s="5">
        <f t="shared" si="38"/>
        <v>0</v>
      </c>
      <c r="K221" s="5">
        <v>0</v>
      </c>
      <c r="L221" s="6">
        <f t="shared" si="39"/>
        <v>200000</v>
      </c>
    </row>
    <row r="222" spans="1:12" x14ac:dyDescent="0.45">
      <c r="A222" s="10">
        <f t="shared" si="35"/>
        <v>221</v>
      </c>
      <c r="B222" s="5" t="s">
        <v>290</v>
      </c>
      <c r="C222" s="5" t="s">
        <v>22</v>
      </c>
      <c r="D222" s="5">
        <f t="shared" si="36"/>
        <v>0</v>
      </c>
      <c r="E222" s="5">
        <v>0</v>
      </c>
      <c r="F222" s="5">
        <f t="shared" si="37"/>
        <v>0</v>
      </c>
      <c r="G222" s="5">
        <v>0</v>
      </c>
      <c r="H222" s="5"/>
      <c r="I222" s="5">
        <v>0</v>
      </c>
      <c r="J222" s="5">
        <f t="shared" si="38"/>
        <v>20000</v>
      </c>
      <c r="K222" s="5">
        <v>1</v>
      </c>
      <c r="L222" s="6">
        <f t="shared" si="39"/>
        <v>180000</v>
      </c>
    </row>
    <row r="223" spans="1:12" x14ac:dyDescent="0.45">
      <c r="A223" s="10">
        <f t="shared" si="35"/>
        <v>222</v>
      </c>
      <c r="B223" s="5" t="s">
        <v>291</v>
      </c>
      <c r="C223" s="5" t="s">
        <v>22</v>
      </c>
      <c r="D223" s="5">
        <f t="shared" si="36"/>
        <v>0</v>
      </c>
      <c r="E223" s="5">
        <v>0</v>
      </c>
      <c r="F223" s="5">
        <f t="shared" si="37"/>
        <v>0</v>
      </c>
      <c r="G223" s="5">
        <v>0</v>
      </c>
      <c r="H223" s="5"/>
      <c r="I223" s="5">
        <v>0</v>
      </c>
      <c r="J223" s="5">
        <f t="shared" si="38"/>
        <v>0</v>
      </c>
      <c r="K223" s="5">
        <v>0</v>
      </c>
      <c r="L223" s="6">
        <f t="shared" si="39"/>
        <v>200000</v>
      </c>
    </row>
    <row r="224" spans="1:12" x14ac:dyDescent="0.45">
      <c r="A224" s="10">
        <f t="shared" si="35"/>
        <v>223</v>
      </c>
      <c r="B224" s="5" t="s">
        <v>292</v>
      </c>
      <c r="C224" s="5" t="s">
        <v>22</v>
      </c>
      <c r="D224" s="5">
        <f t="shared" si="36"/>
        <v>0</v>
      </c>
      <c r="E224" s="5">
        <v>0</v>
      </c>
      <c r="F224" s="5">
        <f t="shared" si="37"/>
        <v>0</v>
      </c>
      <c r="G224" s="5">
        <v>0</v>
      </c>
      <c r="H224" s="5"/>
      <c r="I224" s="5">
        <v>0</v>
      </c>
      <c r="J224" s="5">
        <f t="shared" si="38"/>
        <v>20000</v>
      </c>
      <c r="K224" s="5">
        <v>1</v>
      </c>
      <c r="L224" s="6">
        <f t="shared" si="39"/>
        <v>180000</v>
      </c>
    </row>
    <row r="225" spans="1:12" x14ac:dyDescent="0.45">
      <c r="A225" s="10">
        <f t="shared" si="35"/>
        <v>224</v>
      </c>
      <c r="B225" s="5" t="s">
        <v>293</v>
      </c>
      <c r="C225" s="5" t="s">
        <v>22</v>
      </c>
      <c r="D225" s="5">
        <f t="shared" si="36"/>
        <v>0</v>
      </c>
      <c r="E225" s="5">
        <v>0</v>
      </c>
      <c r="F225" s="5">
        <f t="shared" si="37"/>
        <v>0</v>
      </c>
      <c r="G225" s="5">
        <v>0</v>
      </c>
      <c r="H225" s="5"/>
      <c r="I225" s="5">
        <v>0</v>
      </c>
      <c r="J225" s="5">
        <f t="shared" si="38"/>
        <v>0</v>
      </c>
      <c r="K225" s="5">
        <v>0</v>
      </c>
      <c r="L225" s="6">
        <f t="shared" si="39"/>
        <v>200000</v>
      </c>
    </row>
    <row r="226" spans="1:12" x14ac:dyDescent="0.45">
      <c r="A226" s="10">
        <f t="shared" si="35"/>
        <v>225</v>
      </c>
      <c r="B226" s="5" t="s">
        <v>294</v>
      </c>
      <c r="C226" s="5" t="s">
        <v>22</v>
      </c>
      <c r="D226" s="5">
        <f t="shared" si="36"/>
        <v>0</v>
      </c>
      <c r="E226" s="5">
        <v>0</v>
      </c>
      <c r="F226" s="5">
        <f t="shared" si="37"/>
        <v>0</v>
      </c>
      <c r="G226" s="5">
        <v>0</v>
      </c>
      <c r="H226" s="5"/>
      <c r="I226" s="5">
        <v>0</v>
      </c>
      <c r="J226" s="5">
        <f t="shared" si="38"/>
        <v>0</v>
      </c>
      <c r="K226" s="5">
        <v>0</v>
      </c>
      <c r="L226" s="6">
        <f t="shared" si="39"/>
        <v>200000</v>
      </c>
    </row>
    <row r="227" spans="1:12" x14ac:dyDescent="0.45">
      <c r="A227" s="10">
        <f t="shared" si="35"/>
        <v>226</v>
      </c>
      <c r="B227" s="5" t="s">
        <v>295</v>
      </c>
      <c r="C227" s="5" t="s">
        <v>22</v>
      </c>
      <c r="D227" s="5">
        <f t="shared" si="36"/>
        <v>0</v>
      </c>
      <c r="E227" s="5">
        <v>0</v>
      </c>
      <c r="F227" s="5">
        <f t="shared" si="37"/>
        <v>0</v>
      </c>
      <c r="G227" s="5">
        <v>0</v>
      </c>
      <c r="H227" s="5"/>
      <c r="I227" s="5">
        <v>0</v>
      </c>
      <c r="J227" s="5">
        <f t="shared" si="38"/>
        <v>0</v>
      </c>
      <c r="K227" s="5">
        <v>0</v>
      </c>
      <c r="L227" s="6">
        <f t="shared" si="39"/>
        <v>200000</v>
      </c>
    </row>
    <row r="228" spans="1:12" x14ac:dyDescent="0.45">
      <c r="A228" s="10">
        <f t="shared" si="35"/>
        <v>227</v>
      </c>
      <c r="B228" s="5" t="s">
        <v>296</v>
      </c>
      <c r="C228" s="5" t="s">
        <v>22</v>
      </c>
      <c r="D228" s="5">
        <f t="shared" si="36"/>
        <v>0</v>
      </c>
      <c r="E228" s="5">
        <v>0</v>
      </c>
      <c r="F228" s="5">
        <f t="shared" si="37"/>
        <v>0</v>
      </c>
      <c r="G228" s="5">
        <v>0</v>
      </c>
      <c r="H228" s="5"/>
      <c r="I228" s="5">
        <v>0</v>
      </c>
      <c r="J228" s="5">
        <f t="shared" si="38"/>
        <v>0</v>
      </c>
      <c r="K228" s="5">
        <v>0</v>
      </c>
      <c r="L228" s="6">
        <f t="shared" si="39"/>
        <v>200000</v>
      </c>
    </row>
    <row r="229" spans="1:12" x14ac:dyDescent="0.45">
      <c r="A229" s="10">
        <f t="shared" si="35"/>
        <v>228</v>
      </c>
      <c r="B229" s="5" t="s">
        <v>297</v>
      </c>
      <c r="C229" s="5" t="s">
        <v>22</v>
      </c>
      <c r="D229" s="5">
        <f t="shared" si="36"/>
        <v>0</v>
      </c>
      <c r="E229" s="5">
        <v>0</v>
      </c>
      <c r="F229" s="5">
        <f t="shared" si="37"/>
        <v>0</v>
      </c>
      <c r="G229" s="5">
        <v>0</v>
      </c>
      <c r="H229" s="5"/>
      <c r="I229" s="5">
        <v>0</v>
      </c>
      <c r="J229" s="5">
        <f t="shared" si="38"/>
        <v>0</v>
      </c>
      <c r="K229" s="5">
        <v>0</v>
      </c>
      <c r="L229" s="6">
        <f t="shared" si="39"/>
        <v>200000</v>
      </c>
    </row>
    <row r="230" spans="1:12" x14ac:dyDescent="0.45">
      <c r="A230" s="10">
        <f t="shared" si="35"/>
        <v>229</v>
      </c>
      <c r="B230" s="5" t="s">
        <v>298</v>
      </c>
      <c r="C230" s="5" t="s">
        <v>22</v>
      </c>
      <c r="D230" s="5">
        <f t="shared" si="36"/>
        <v>0</v>
      </c>
      <c r="E230" s="5">
        <v>0</v>
      </c>
      <c r="F230" s="5">
        <f t="shared" si="37"/>
        <v>0</v>
      </c>
      <c r="G230" s="5">
        <v>0</v>
      </c>
      <c r="H230" s="5"/>
      <c r="I230" s="5">
        <v>0</v>
      </c>
      <c r="J230" s="5">
        <f t="shared" si="38"/>
        <v>0</v>
      </c>
      <c r="K230" s="5">
        <v>0</v>
      </c>
      <c r="L230" s="6">
        <f t="shared" si="39"/>
        <v>200000</v>
      </c>
    </row>
    <row r="231" spans="1:12" x14ac:dyDescent="0.45">
      <c r="A231" s="10">
        <f t="shared" si="35"/>
        <v>230</v>
      </c>
      <c r="B231" s="5" t="s">
        <v>299</v>
      </c>
      <c r="C231" s="5" t="s">
        <v>22</v>
      </c>
      <c r="D231" s="5">
        <f t="shared" si="36"/>
        <v>0</v>
      </c>
      <c r="E231" s="5">
        <v>0</v>
      </c>
      <c r="F231" s="5">
        <f t="shared" si="37"/>
        <v>0</v>
      </c>
      <c r="G231" s="5">
        <v>0</v>
      </c>
      <c r="H231" s="5"/>
      <c r="I231" s="5">
        <v>0</v>
      </c>
      <c r="J231" s="5">
        <f t="shared" si="38"/>
        <v>0</v>
      </c>
      <c r="K231" s="5">
        <v>0</v>
      </c>
      <c r="L231" s="6">
        <f t="shared" si="39"/>
        <v>200000</v>
      </c>
    </row>
    <row r="232" spans="1:12" x14ac:dyDescent="0.45">
      <c r="A232" s="10">
        <f t="shared" si="35"/>
        <v>231</v>
      </c>
      <c r="B232" s="5" t="s">
        <v>300</v>
      </c>
      <c r="C232" s="5" t="s">
        <v>22</v>
      </c>
      <c r="D232" s="5">
        <f t="shared" si="36"/>
        <v>0</v>
      </c>
      <c r="E232" s="5">
        <v>0</v>
      </c>
      <c r="F232" s="5">
        <f t="shared" si="37"/>
        <v>0</v>
      </c>
      <c r="G232" s="5">
        <v>0</v>
      </c>
      <c r="H232" s="5"/>
      <c r="I232" s="5">
        <v>0</v>
      </c>
      <c r="J232" s="5">
        <f t="shared" si="38"/>
        <v>0</v>
      </c>
      <c r="K232" s="5">
        <v>0</v>
      </c>
      <c r="L232" s="6">
        <f t="shared" si="39"/>
        <v>200000</v>
      </c>
    </row>
    <row r="233" spans="1:12" x14ac:dyDescent="0.45">
      <c r="A233" s="10">
        <f t="shared" si="35"/>
        <v>232</v>
      </c>
      <c r="B233" s="5" t="s">
        <v>301</v>
      </c>
      <c r="C233" s="5" t="s">
        <v>22</v>
      </c>
      <c r="D233" s="5">
        <f t="shared" si="36"/>
        <v>0</v>
      </c>
      <c r="E233" s="5">
        <v>0</v>
      </c>
      <c r="F233" s="5">
        <f t="shared" si="37"/>
        <v>0</v>
      </c>
      <c r="G233" s="5">
        <v>0</v>
      </c>
      <c r="H233" s="5"/>
      <c r="I233" s="5">
        <v>0</v>
      </c>
      <c r="J233" s="5">
        <f t="shared" si="38"/>
        <v>0</v>
      </c>
      <c r="K233" s="5">
        <v>0</v>
      </c>
      <c r="L233" s="6">
        <f t="shared" si="39"/>
        <v>200000</v>
      </c>
    </row>
    <row r="234" spans="1:12" x14ac:dyDescent="0.45">
      <c r="A234" s="10">
        <f t="shared" si="35"/>
        <v>233</v>
      </c>
      <c r="B234" s="5" t="s">
        <v>302</v>
      </c>
      <c r="C234" s="5" t="s">
        <v>22</v>
      </c>
      <c r="D234" s="5">
        <f t="shared" si="36"/>
        <v>0</v>
      </c>
      <c r="E234" s="5">
        <v>0</v>
      </c>
      <c r="F234" s="5">
        <f t="shared" si="37"/>
        <v>0</v>
      </c>
      <c r="G234" s="5">
        <v>0</v>
      </c>
      <c r="H234" s="5"/>
      <c r="I234" s="5">
        <v>0</v>
      </c>
      <c r="J234" s="5">
        <f t="shared" si="38"/>
        <v>0</v>
      </c>
      <c r="K234" s="5">
        <v>0</v>
      </c>
      <c r="L234" s="6">
        <f t="shared" si="39"/>
        <v>200000</v>
      </c>
    </row>
    <row r="235" spans="1:12" x14ac:dyDescent="0.45">
      <c r="A235" s="10">
        <f t="shared" si="35"/>
        <v>234</v>
      </c>
      <c r="B235" s="5" t="s">
        <v>303</v>
      </c>
      <c r="C235" s="5" t="s">
        <v>22</v>
      </c>
      <c r="D235" s="5">
        <f t="shared" si="36"/>
        <v>0</v>
      </c>
      <c r="E235" s="5">
        <v>0</v>
      </c>
      <c r="F235" s="5">
        <f t="shared" si="37"/>
        <v>0</v>
      </c>
      <c r="G235" s="5">
        <v>0</v>
      </c>
      <c r="H235" s="5"/>
      <c r="I235" s="5">
        <v>0</v>
      </c>
      <c r="J235" s="5">
        <f t="shared" si="38"/>
        <v>0</v>
      </c>
      <c r="K235" s="5">
        <v>0</v>
      </c>
      <c r="L235" s="6">
        <f t="shared" si="39"/>
        <v>200000</v>
      </c>
    </row>
    <row r="236" spans="1:12" x14ac:dyDescent="0.45">
      <c r="A236" s="10">
        <f t="shared" si="35"/>
        <v>235</v>
      </c>
      <c r="B236" s="5" t="s">
        <v>304</v>
      </c>
      <c r="C236" s="5" t="s">
        <v>22</v>
      </c>
      <c r="D236" s="5">
        <f t="shared" si="36"/>
        <v>0</v>
      </c>
      <c r="E236" s="5">
        <v>0</v>
      </c>
      <c r="F236" s="5">
        <f t="shared" si="37"/>
        <v>0</v>
      </c>
      <c r="G236" s="5">
        <v>0</v>
      </c>
      <c r="H236" s="5"/>
      <c r="I236" s="5">
        <v>0</v>
      </c>
      <c r="J236" s="5">
        <f t="shared" si="38"/>
        <v>0</v>
      </c>
      <c r="K236" s="5">
        <v>0</v>
      </c>
      <c r="L236" s="6">
        <f t="shared" si="39"/>
        <v>200000</v>
      </c>
    </row>
    <row r="237" spans="1:12" x14ac:dyDescent="0.45">
      <c r="A237" s="10">
        <f t="shared" si="35"/>
        <v>236</v>
      </c>
      <c r="B237" s="5" t="s">
        <v>305</v>
      </c>
      <c r="C237" s="5" t="s">
        <v>22</v>
      </c>
      <c r="D237" s="5">
        <f t="shared" si="36"/>
        <v>0</v>
      </c>
      <c r="E237" s="5">
        <v>0</v>
      </c>
      <c r="F237" s="5">
        <f t="shared" si="37"/>
        <v>0</v>
      </c>
      <c r="G237" s="5">
        <v>0</v>
      </c>
      <c r="H237" s="5"/>
      <c r="I237" s="5">
        <v>0</v>
      </c>
      <c r="J237" s="5">
        <f t="shared" si="38"/>
        <v>0</v>
      </c>
      <c r="K237" s="5">
        <v>0</v>
      </c>
      <c r="L237" s="6">
        <f t="shared" si="39"/>
        <v>200000</v>
      </c>
    </row>
    <row r="238" spans="1:12" x14ac:dyDescent="0.45">
      <c r="A238" s="10">
        <f t="shared" si="35"/>
        <v>237</v>
      </c>
      <c r="B238" s="5" t="s">
        <v>306</v>
      </c>
      <c r="C238" s="5" t="s">
        <v>22</v>
      </c>
      <c r="D238" s="5">
        <f t="shared" si="36"/>
        <v>0</v>
      </c>
      <c r="E238" s="5">
        <v>0</v>
      </c>
      <c r="F238" s="5">
        <f t="shared" si="37"/>
        <v>0</v>
      </c>
      <c r="G238" s="5">
        <v>0</v>
      </c>
      <c r="H238" s="5"/>
      <c r="I238" s="5">
        <v>0</v>
      </c>
      <c r="J238" s="5">
        <f t="shared" si="38"/>
        <v>20000</v>
      </c>
      <c r="K238" s="5">
        <v>1</v>
      </c>
      <c r="L238" s="6">
        <f t="shared" si="39"/>
        <v>180000</v>
      </c>
    </row>
    <row r="239" spans="1:12" x14ac:dyDescent="0.45">
      <c r="A239" s="10">
        <f t="shared" si="35"/>
        <v>238</v>
      </c>
      <c r="B239" s="5" t="s">
        <v>307</v>
      </c>
      <c r="C239" s="5" t="s">
        <v>22</v>
      </c>
      <c r="D239" s="5">
        <f t="shared" si="36"/>
        <v>0</v>
      </c>
      <c r="E239" s="5">
        <v>0</v>
      </c>
      <c r="F239" s="5">
        <f t="shared" si="37"/>
        <v>0</v>
      </c>
      <c r="G239" s="5">
        <v>0</v>
      </c>
      <c r="H239" s="5"/>
      <c r="I239" s="5">
        <v>0</v>
      </c>
      <c r="J239" s="5">
        <f t="shared" si="38"/>
        <v>20000</v>
      </c>
      <c r="K239" s="5">
        <v>1</v>
      </c>
      <c r="L239" s="6">
        <f t="shared" si="39"/>
        <v>180000</v>
      </c>
    </row>
    <row r="240" spans="1:12" x14ac:dyDescent="0.45">
      <c r="A240" s="10">
        <f t="shared" si="35"/>
        <v>239</v>
      </c>
      <c r="B240" s="5" t="s">
        <v>308</v>
      </c>
      <c r="C240" s="5" t="s">
        <v>22</v>
      </c>
      <c r="D240" s="5">
        <f t="shared" si="36"/>
        <v>0</v>
      </c>
      <c r="E240" s="5">
        <v>0</v>
      </c>
      <c r="F240" s="5">
        <f t="shared" si="37"/>
        <v>0</v>
      </c>
      <c r="G240" s="5">
        <v>0</v>
      </c>
      <c r="H240" s="5"/>
      <c r="I240" s="5">
        <v>0</v>
      </c>
      <c r="J240" s="5">
        <f t="shared" si="38"/>
        <v>0</v>
      </c>
      <c r="K240" s="5">
        <v>0</v>
      </c>
      <c r="L240" s="6">
        <f t="shared" si="39"/>
        <v>200000</v>
      </c>
    </row>
    <row r="241" spans="1:12" x14ac:dyDescent="0.45">
      <c r="A241" s="10">
        <f t="shared" si="35"/>
        <v>240</v>
      </c>
      <c r="B241" s="5" t="s">
        <v>309</v>
      </c>
      <c r="C241" s="5" t="s">
        <v>22</v>
      </c>
      <c r="D241" s="5">
        <f t="shared" si="36"/>
        <v>0</v>
      </c>
      <c r="E241" s="5">
        <v>0</v>
      </c>
      <c r="F241" s="5">
        <f t="shared" si="37"/>
        <v>0</v>
      </c>
      <c r="G241" s="5">
        <v>0</v>
      </c>
      <c r="H241" s="5"/>
      <c r="I241" s="5">
        <v>0</v>
      </c>
      <c r="J241" s="5">
        <f t="shared" si="38"/>
        <v>0</v>
      </c>
      <c r="K241" s="5">
        <v>0</v>
      </c>
      <c r="L241" s="6">
        <f t="shared" si="39"/>
        <v>200000</v>
      </c>
    </row>
    <row r="242" spans="1:12" x14ac:dyDescent="0.45">
      <c r="A242" s="14">
        <f>ROW(A242)-1</f>
        <v>241</v>
      </c>
      <c r="B242" s="15" t="s">
        <v>310</v>
      </c>
      <c r="C242" s="5" t="s">
        <v>22</v>
      </c>
      <c r="D242" s="15">
        <f>E242*20000</f>
        <v>0</v>
      </c>
      <c r="E242" s="5">
        <v>0</v>
      </c>
      <c r="F242" s="15">
        <f>G242*40000*2</f>
        <v>0</v>
      </c>
      <c r="G242" s="5">
        <v>0</v>
      </c>
      <c r="H242" s="15"/>
      <c r="I242" s="5">
        <v>0</v>
      </c>
      <c r="J242" s="15">
        <f>K242*20000</f>
        <v>0</v>
      </c>
      <c r="K242" s="5">
        <v>0</v>
      </c>
      <c r="L242" s="16">
        <f>200000-H242-F242-D242-J242</f>
        <v>200000</v>
      </c>
    </row>
    <row r="243" spans="1:12" x14ac:dyDescent="0.45">
      <c r="A243" s="10">
        <f t="shared" ref="A243:A272" si="40">ROW(A243)-1</f>
        <v>242</v>
      </c>
      <c r="B243" s="15" t="s">
        <v>311</v>
      </c>
      <c r="C243" s="5" t="s">
        <v>22</v>
      </c>
      <c r="D243" s="5">
        <f t="shared" ref="D243:D272" si="41">E243*20000</f>
        <v>0</v>
      </c>
      <c r="E243" s="5">
        <v>0</v>
      </c>
      <c r="F243" s="5">
        <f t="shared" ref="F243:F272" si="42">G243*40000*2</f>
        <v>0</v>
      </c>
      <c r="G243" s="5">
        <v>0</v>
      </c>
      <c r="H243" s="5"/>
      <c r="I243" s="5">
        <v>0</v>
      </c>
      <c r="J243" s="5">
        <f t="shared" ref="J243:J272" si="43">K243*20000</f>
        <v>0</v>
      </c>
      <c r="K243" s="5">
        <v>0</v>
      </c>
      <c r="L243" s="6">
        <f t="shared" ref="L243:L272" si="44">200000-H243-F243-D243-J243</f>
        <v>200000</v>
      </c>
    </row>
    <row r="244" spans="1:12" x14ac:dyDescent="0.45">
      <c r="A244" s="10">
        <f t="shared" si="40"/>
        <v>243</v>
      </c>
      <c r="B244" s="15" t="s">
        <v>312</v>
      </c>
      <c r="C244" s="5" t="s">
        <v>22</v>
      </c>
      <c r="D244" s="5">
        <f t="shared" si="41"/>
        <v>0</v>
      </c>
      <c r="E244" s="5">
        <v>0</v>
      </c>
      <c r="F244" s="5">
        <f t="shared" si="42"/>
        <v>0</v>
      </c>
      <c r="G244" s="5">
        <v>0</v>
      </c>
      <c r="H244" s="5"/>
      <c r="I244" s="5">
        <v>0</v>
      </c>
      <c r="J244" s="5">
        <f t="shared" si="43"/>
        <v>0</v>
      </c>
      <c r="K244" s="5">
        <v>0</v>
      </c>
      <c r="L244" s="6">
        <f t="shared" si="44"/>
        <v>200000</v>
      </c>
    </row>
    <row r="245" spans="1:12" x14ac:dyDescent="0.45">
      <c r="A245" s="10">
        <f t="shared" si="40"/>
        <v>244</v>
      </c>
      <c r="B245" s="15" t="s">
        <v>313</v>
      </c>
      <c r="C245" s="5" t="s">
        <v>22</v>
      </c>
      <c r="D245" s="5">
        <f t="shared" si="41"/>
        <v>0</v>
      </c>
      <c r="E245" s="5">
        <v>0</v>
      </c>
      <c r="F245" s="5">
        <f t="shared" si="42"/>
        <v>0</v>
      </c>
      <c r="G245" s="5">
        <v>0</v>
      </c>
      <c r="H245" s="5"/>
      <c r="I245" s="5">
        <v>0</v>
      </c>
      <c r="J245" s="5">
        <f t="shared" si="43"/>
        <v>20000</v>
      </c>
      <c r="K245" s="5">
        <v>1</v>
      </c>
      <c r="L245" s="6">
        <f t="shared" si="44"/>
        <v>180000</v>
      </c>
    </row>
    <row r="246" spans="1:12" x14ac:dyDescent="0.45">
      <c r="A246" s="10">
        <f t="shared" si="40"/>
        <v>245</v>
      </c>
      <c r="B246" s="15" t="s">
        <v>314</v>
      </c>
      <c r="C246" s="5" t="s">
        <v>22</v>
      </c>
      <c r="D246" s="5">
        <f t="shared" si="41"/>
        <v>0</v>
      </c>
      <c r="E246" s="5">
        <v>0</v>
      </c>
      <c r="F246" s="5">
        <f t="shared" si="42"/>
        <v>0</v>
      </c>
      <c r="G246" s="5">
        <v>0</v>
      </c>
      <c r="H246" s="5"/>
      <c r="I246" s="5">
        <v>0</v>
      </c>
      <c r="J246" s="5">
        <f t="shared" si="43"/>
        <v>0</v>
      </c>
      <c r="K246" s="5">
        <v>0</v>
      </c>
      <c r="L246" s="6">
        <f t="shared" si="44"/>
        <v>200000</v>
      </c>
    </row>
    <row r="247" spans="1:12" x14ac:dyDescent="0.45">
      <c r="A247" s="10">
        <f t="shared" si="40"/>
        <v>246</v>
      </c>
      <c r="B247" s="15" t="s">
        <v>315</v>
      </c>
      <c r="C247" s="5" t="s">
        <v>22</v>
      </c>
      <c r="D247" s="5">
        <f t="shared" si="41"/>
        <v>0</v>
      </c>
      <c r="E247" s="5">
        <v>0</v>
      </c>
      <c r="F247" s="5">
        <f t="shared" si="42"/>
        <v>0</v>
      </c>
      <c r="G247" s="5">
        <v>0</v>
      </c>
      <c r="H247" s="5"/>
      <c r="I247" s="5">
        <v>0</v>
      </c>
      <c r="J247" s="5">
        <f t="shared" si="43"/>
        <v>20000</v>
      </c>
      <c r="K247" s="5">
        <v>1</v>
      </c>
      <c r="L247" s="6">
        <f t="shared" si="44"/>
        <v>180000</v>
      </c>
    </row>
    <row r="248" spans="1:12" x14ac:dyDescent="0.45">
      <c r="A248" s="10">
        <f t="shared" si="40"/>
        <v>247</v>
      </c>
      <c r="B248" s="15" t="s">
        <v>316</v>
      </c>
      <c r="C248" s="5" t="s">
        <v>22</v>
      </c>
      <c r="D248" s="5">
        <f t="shared" si="41"/>
        <v>0</v>
      </c>
      <c r="E248" s="5">
        <v>0</v>
      </c>
      <c r="F248" s="5">
        <f t="shared" si="42"/>
        <v>0</v>
      </c>
      <c r="G248" s="5">
        <v>0</v>
      </c>
      <c r="H248" s="5"/>
      <c r="I248" s="5">
        <v>0</v>
      </c>
      <c r="J248" s="5">
        <f t="shared" si="43"/>
        <v>20000</v>
      </c>
      <c r="K248" s="5">
        <v>1</v>
      </c>
      <c r="L248" s="6">
        <f t="shared" si="44"/>
        <v>180000</v>
      </c>
    </row>
    <row r="249" spans="1:12" x14ac:dyDescent="0.45">
      <c r="A249" s="10">
        <f t="shared" si="40"/>
        <v>248</v>
      </c>
      <c r="B249" s="15" t="s">
        <v>317</v>
      </c>
      <c r="C249" s="5" t="s">
        <v>22</v>
      </c>
      <c r="D249" s="5">
        <f t="shared" si="41"/>
        <v>0</v>
      </c>
      <c r="E249" s="5">
        <v>0</v>
      </c>
      <c r="F249" s="5">
        <f t="shared" si="42"/>
        <v>0</v>
      </c>
      <c r="G249" s="5">
        <v>0</v>
      </c>
      <c r="H249" s="5"/>
      <c r="I249" s="5">
        <v>0</v>
      </c>
      <c r="J249" s="5">
        <f t="shared" si="43"/>
        <v>0</v>
      </c>
      <c r="K249" s="5">
        <v>0</v>
      </c>
      <c r="L249" s="6">
        <f t="shared" si="44"/>
        <v>200000</v>
      </c>
    </row>
    <row r="250" spans="1:12" x14ac:dyDescent="0.45">
      <c r="A250" s="10">
        <f t="shared" si="40"/>
        <v>249</v>
      </c>
      <c r="B250" s="15" t="s">
        <v>318</v>
      </c>
      <c r="C250" s="5" t="s">
        <v>22</v>
      </c>
      <c r="D250" s="5">
        <f t="shared" si="41"/>
        <v>0</v>
      </c>
      <c r="E250" s="5">
        <v>0</v>
      </c>
      <c r="F250" s="5">
        <f t="shared" si="42"/>
        <v>0</v>
      </c>
      <c r="G250" s="5">
        <v>0</v>
      </c>
      <c r="H250" s="5"/>
      <c r="I250" s="5">
        <v>0</v>
      </c>
      <c r="J250" s="5">
        <f t="shared" si="43"/>
        <v>0</v>
      </c>
      <c r="K250" s="5">
        <v>0</v>
      </c>
      <c r="L250" s="6">
        <f t="shared" si="44"/>
        <v>200000</v>
      </c>
    </row>
    <row r="251" spans="1:12" x14ac:dyDescent="0.45">
      <c r="A251" s="10">
        <f t="shared" si="40"/>
        <v>250</v>
      </c>
      <c r="B251" s="15" t="s">
        <v>319</v>
      </c>
      <c r="C251" s="5" t="s">
        <v>22</v>
      </c>
      <c r="D251" s="5">
        <f t="shared" si="41"/>
        <v>40000</v>
      </c>
      <c r="E251" s="5">
        <v>2</v>
      </c>
      <c r="F251" s="5">
        <f t="shared" si="42"/>
        <v>0</v>
      </c>
      <c r="G251" s="5">
        <v>0</v>
      </c>
      <c r="H251" s="5"/>
      <c r="I251" s="5">
        <v>0</v>
      </c>
      <c r="J251" s="5">
        <f t="shared" si="43"/>
        <v>20000</v>
      </c>
      <c r="K251" s="5">
        <v>1</v>
      </c>
      <c r="L251" s="6">
        <f t="shared" si="44"/>
        <v>140000</v>
      </c>
    </row>
    <row r="252" spans="1:12" x14ac:dyDescent="0.45">
      <c r="A252" s="10">
        <f t="shared" si="40"/>
        <v>251</v>
      </c>
      <c r="B252" s="15" t="s">
        <v>320</v>
      </c>
      <c r="C252" s="5" t="s">
        <v>22</v>
      </c>
      <c r="D252" s="5">
        <f t="shared" si="41"/>
        <v>0</v>
      </c>
      <c r="E252" s="5">
        <v>0</v>
      </c>
      <c r="F252" s="5">
        <f t="shared" si="42"/>
        <v>0</v>
      </c>
      <c r="G252" s="5">
        <v>0</v>
      </c>
      <c r="H252" s="5"/>
      <c r="I252" s="5">
        <v>0</v>
      </c>
      <c r="J252" s="5">
        <f t="shared" si="43"/>
        <v>20000</v>
      </c>
      <c r="K252" s="5">
        <v>1</v>
      </c>
      <c r="L252" s="6">
        <f t="shared" si="44"/>
        <v>180000</v>
      </c>
    </row>
    <row r="253" spans="1:12" x14ac:dyDescent="0.45">
      <c r="A253" s="10">
        <f t="shared" si="40"/>
        <v>252</v>
      </c>
      <c r="B253" s="15" t="s">
        <v>321</v>
      </c>
      <c r="C253" s="5" t="s">
        <v>22</v>
      </c>
      <c r="D253" s="5">
        <f t="shared" si="41"/>
        <v>0</v>
      </c>
      <c r="E253" s="5">
        <v>0</v>
      </c>
      <c r="F253" s="5">
        <f t="shared" si="42"/>
        <v>0</v>
      </c>
      <c r="G253" s="5">
        <v>0</v>
      </c>
      <c r="H253" s="5"/>
      <c r="I253" s="5">
        <v>0</v>
      </c>
      <c r="J253" s="5">
        <f t="shared" si="43"/>
        <v>0</v>
      </c>
      <c r="K253" s="5">
        <v>0</v>
      </c>
      <c r="L253" s="6">
        <f t="shared" si="44"/>
        <v>200000</v>
      </c>
    </row>
    <row r="254" spans="1:12" x14ac:dyDescent="0.45">
      <c r="A254" s="10">
        <f t="shared" si="40"/>
        <v>253</v>
      </c>
      <c r="B254" s="15" t="s">
        <v>322</v>
      </c>
      <c r="C254" s="5" t="s">
        <v>22</v>
      </c>
      <c r="D254" s="5">
        <f t="shared" si="41"/>
        <v>0</v>
      </c>
      <c r="E254" s="5">
        <v>0</v>
      </c>
      <c r="F254" s="5">
        <f t="shared" si="42"/>
        <v>0</v>
      </c>
      <c r="G254" s="5">
        <v>0</v>
      </c>
      <c r="H254" s="5"/>
      <c r="I254" s="5">
        <v>1</v>
      </c>
      <c r="J254" s="5">
        <f t="shared" si="43"/>
        <v>0</v>
      </c>
      <c r="K254" s="5">
        <v>0</v>
      </c>
      <c r="L254" s="6">
        <f t="shared" si="44"/>
        <v>200000</v>
      </c>
    </row>
    <row r="255" spans="1:12" x14ac:dyDescent="0.45">
      <c r="A255" s="10">
        <f t="shared" si="40"/>
        <v>254</v>
      </c>
      <c r="B255" s="15" t="s">
        <v>323</v>
      </c>
      <c r="C255" s="5" t="s">
        <v>22</v>
      </c>
      <c r="D255" s="5">
        <f t="shared" si="41"/>
        <v>0</v>
      </c>
      <c r="E255" s="5">
        <v>0</v>
      </c>
      <c r="F255" s="5">
        <f t="shared" si="42"/>
        <v>0</v>
      </c>
      <c r="G255" s="5">
        <v>0</v>
      </c>
      <c r="H255" s="5"/>
      <c r="I255" s="5">
        <v>0</v>
      </c>
      <c r="J255" s="5">
        <f t="shared" si="43"/>
        <v>0</v>
      </c>
      <c r="K255" s="5">
        <v>0</v>
      </c>
      <c r="L255" s="6">
        <f t="shared" si="44"/>
        <v>200000</v>
      </c>
    </row>
    <row r="256" spans="1:12" x14ac:dyDescent="0.45">
      <c r="A256" s="10">
        <f t="shared" si="40"/>
        <v>255</v>
      </c>
      <c r="B256" s="15" t="s">
        <v>324</v>
      </c>
      <c r="C256" s="5" t="s">
        <v>22</v>
      </c>
      <c r="D256" s="5">
        <f t="shared" si="41"/>
        <v>0</v>
      </c>
      <c r="E256" s="5">
        <v>0</v>
      </c>
      <c r="F256" s="5">
        <f t="shared" si="42"/>
        <v>0</v>
      </c>
      <c r="G256" s="5">
        <v>0</v>
      </c>
      <c r="H256" s="5"/>
      <c r="I256" s="5">
        <v>0</v>
      </c>
      <c r="J256" s="5">
        <f t="shared" si="43"/>
        <v>0</v>
      </c>
      <c r="K256" s="5">
        <v>0</v>
      </c>
      <c r="L256" s="6">
        <f t="shared" si="44"/>
        <v>200000</v>
      </c>
    </row>
    <row r="257" spans="1:12" x14ac:dyDescent="0.45">
      <c r="A257" s="10">
        <f t="shared" si="40"/>
        <v>256</v>
      </c>
      <c r="B257" s="15" t="s">
        <v>325</v>
      </c>
      <c r="C257" s="5" t="s">
        <v>22</v>
      </c>
      <c r="D257" s="5">
        <f t="shared" si="41"/>
        <v>0</v>
      </c>
      <c r="E257" s="5">
        <v>0</v>
      </c>
      <c r="F257" s="5">
        <f t="shared" si="42"/>
        <v>0</v>
      </c>
      <c r="G257" s="5">
        <v>0</v>
      </c>
      <c r="H257" s="5"/>
      <c r="I257" s="5">
        <v>0</v>
      </c>
      <c r="J257" s="5">
        <f t="shared" si="43"/>
        <v>0</v>
      </c>
      <c r="K257" s="5">
        <v>0</v>
      </c>
      <c r="L257" s="6">
        <f t="shared" si="44"/>
        <v>200000</v>
      </c>
    </row>
    <row r="258" spans="1:12" x14ac:dyDescent="0.45">
      <c r="A258" s="10">
        <f t="shared" si="40"/>
        <v>257</v>
      </c>
      <c r="B258" s="15" t="s">
        <v>326</v>
      </c>
      <c r="C258" s="5" t="s">
        <v>22</v>
      </c>
      <c r="D258" s="5">
        <f t="shared" si="41"/>
        <v>0</v>
      </c>
      <c r="E258" s="5">
        <v>0</v>
      </c>
      <c r="F258" s="5">
        <f t="shared" si="42"/>
        <v>0</v>
      </c>
      <c r="G258" s="5">
        <v>0</v>
      </c>
      <c r="H258" s="5"/>
      <c r="I258" s="5">
        <v>0</v>
      </c>
      <c r="J258" s="5">
        <f t="shared" si="43"/>
        <v>0</v>
      </c>
      <c r="K258" s="5">
        <v>0</v>
      </c>
      <c r="L258" s="6">
        <f t="shared" si="44"/>
        <v>200000</v>
      </c>
    </row>
    <row r="259" spans="1:12" x14ac:dyDescent="0.45">
      <c r="A259" s="10">
        <f t="shared" si="40"/>
        <v>258</v>
      </c>
      <c r="B259" s="15" t="s">
        <v>327</v>
      </c>
      <c r="C259" s="5" t="s">
        <v>22</v>
      </c>
      <c r="D259" s="5">
        <f t="shared" si="41"/>
        <v>0</v>
      </c>
      <c r="E259" s="5">
        <v>0</v>
      </c>
      <c r="F259" s="5">
        <f t="shared" si="42"/>
        <v>0</v>
      </c>
      <c r="G259" s="5">
        <v>0</v>
      </c>
      <c r="H259" s="5"/>
      <c r="I259" s="5">
        <v>0</v>
      </c>
      <c r="J259" s="5">
        <f t="shared" si="43"/>
        <v>20000</v>
      </c>
      <c r="K259" s="5">
        <v>1</v>
      </c>
      <c r="L259" s="6">
        <f t="shared" si="44"/>
        <v>180000</v>
      </c>
    </row>
    <row r="260" spans="1:12" x14ac:dyDescent="0.45">
      <c r="A260" s="10">
        <f t="shared" si="40"/>
        <v>259</v>
      </c>
      <c r="B260" s="15" t="s">
        <v>328</v>
      </c>
      <c r="C260" s="5" t="s">
        <v>22</v>
      </c>
      <c r="D260" s="5">
        <f t="shared" si="41"/>
        <v>0</v>
      </c>
      <c r="E260" s="5">
        <v>0</v>
      </c>
      <c r="F260" s="5">
        <f t="shared" si="42"/>
        <v>0</v>
      </c>
      <c r="G260" s="5">
        <v>0</v>
      </c>
      <c r="H260" s="5"/>
      <c r="I260" s="5">
        <v>0</v>
      </c>
      <c r="J260" s="5">
        <f t="shared" si="43"/>
        <v>20000</v>
      </c>
      <c r="K260" s="5">
        <v>1</v>
      </c>
      <c r="L260" s="6">
        <f t="shared" si="44"/>
        <v>180000</v>
      </c>
    </row>
    <row r="261" spans="1:12" x14ac:dyDescent="0.45">
      <c r="A261" s="10">
        <f t="shared" si="40"/>
        <v>260</v>
      </c>
      <c r="B261" s="15" t="s">
        <v>329</v>
      </c>
      <c r="C261" s="5" t="s">
        <v>22</v>
      </c>
      <c r="D261" s="5">
        <f t="shared" si="41"/>
        <v>0</v>
      </c>
      <c r="E261" s="5">
        <v>0</v>
      </c>
      <c r="F261" s="5">
        <f t="shared" si="42"/>
        <v>0</v>
      </c>
      <c r="G261" s="5">
        <v>0</v>
      </c>
      <c r="H261" s="5"/>
      <c r="I261" s="5">
        <v>0</v>
      </c>
      <c r="J261" s="5">
        <f t="shared" si="43"/>
        <v>20000</v>
      </c>
      <c r="K261" s="5">
        <v>1</v>
      </c>
      <c r="L261" s="6">
        <f t="shared" si="44"/>
        <v>180000</v>
      </c>
    </row>
    <row r="262" spans="1:12" x14ac:dyDescent="0.45">
      <c r="A262" s="10">
        <f t="shared" si="40"/>
        <v>261</v>
      </c>
      <c r="B262" s="15" t="s">
        <v>330</v>
      </c>
      <c r="C262" s="5" t="s">
        <v>22</v>
      </c>
      <c r="D262" s="5">
        <f t="shared" si="41"/>
        <v>20000</v>
      </c>
      <c r="E262" s="5">
        <v>1</v>
      </c>
      <c r="F262" s="5">
        <f t="shared" si="42"/>
        <v>0</v>
      </c>
      <c r="G262" s="5">
        <v>0</v>
      </c>
      <c r="H262" s="5"/>
      <c r="I262" s="5">
        <v>0</v>
      </c>
      <c r="J262" s="5">
        <f t="shared" si="43"/>
        <v>0</v>
      </c>
      <c r="K262" s="5">
        <v>0</v>
      </c>
      <c r="L262" s="6">
        <f t="shared" si="44"/>
        <v>180000</v>
      </c>
    </row>
    <row r="263" spans="1:12" x14ac:dyDescent="0.45">
      <c r="A263" s="10">
        <f t="shared" si="40"/>
        <v>262</v>
      </c>
      <c r="B263" s="15" t="s">
        <v>331</v>
      </c>
      <c r="C263" s="5" t="s">
        <v>22</v>
      </c>
      <c r="D263" s="5">
        <f t="shared" si="41"/>
        <v>0</v>
      </c>
      <c r="E263" s="5">
        <v>0</v>
      </c>
      <c r="F263" s="5">
        <f t="shared" si="42"/>
        <v>0</v>
      </c>
      <c r="G263" s="5">
        <v>0</v>
      </c>
      <c r="H263" s="5"/>
      <c r="I263" s="5">
        <v>0</v>
      </c>
      <c r="J263" s="5">
        <f t="shared" si="43"/>
        <v>0</v>
      </c>
      <c r="K263" s="5">
        <v>0</v>
      </c>
      <c r="L263" s="6">
        <f t="shared" si="44"/>
        <v>200000</v>
      </c>
    </row>
    <row r="264" spans="1:12" x14ac:dyDescent="0.45">
      <c r="A264" s="10">
        <f t="shared" si="40"/>
        <v>263</v>
      </c>
      <c r="B264" s="15" t="s">
        <v>332</v>
      </c>
      <c r="C264" s="5" t="s">
        <v>22</v>
      </c>
      <c r="D264" s="5">
        <f t="shared" si="41"/>
        <v>0</v>
      </c>
      <c r="E264" s="5">
        <v>0</v>
      </c>
      <c r="F264" s="5">
        <f t="shared" si="42"/>
        <v>80000</v>
      </c>
      <c r="G264" s="5">
        <v>1</v>
      </c>
      <c r="H264" s="5"/>
      <c r="I264" s="5">
        <v>1</v>
      </c>
      <c r="J264" s="5">
        <f t="shared" si="43"/>
        <v>0</v>
      </c>
      <c r="K264" s="5">
        <v>0</v>
      </c>
      <c r="L264" s="6">
        <f t="shared" si="44"/>
        <v>120000</v>
      </c>
    </row>
    <row r="265" spans="1:12" x14ac:dyDescent="0.45">
      <c r="A265" s="10">
        <f t="shared" si="40"/>
        <v>264</v>
      </c>
      <c r="B265" s="15" t="s">
        <v>333</v>
      </c>
      <c r="C265" s="5" t="s">
        <v>22</v>
      </c>
      <c r="D265" s="5">
        <f t="shared" si="41"/>
        <v>20000</v>
      </c>
      <c r="E265" s="5">
        <v>1</v>
      </c>
      <c r="F265" s="5">
        <f t="shared" si="42"/>
        <v>160000</v>
      </c>
      <c r="G265" s="5">
        <v>2</v>
      </c>
      <c r="H265" s="5"/>
      <c r="I265" s="5">
        <v>0</v>
      </c>
      <c r="J265" s="5">
        <f t="shared" si="43"/>
        <v>0</v>
      </c>
      <c r="K265" s="5">
        <v>0</v>
      </c>
      <c r="L265" s="6">
        <f t="shared" si="44"/>
        <v>20000</v>
      </c>
    </row>
    <row r="266" spans="1:12" x14ac:dyDescent="0.45">
      <c r="A266" s="10">
        <f t="shared" si="40"/>
        <v>265</v>
      </c>
      <c r="B266" s="15" t="s">
        <v>334</v>
      </c>
      <c r="C266" s="5" t="s">
        <v>22</v>
      </c>
      <c r="D266" s="5">
        <f t="shared" si="41"/>
        <v>20000</v>
      </c>
      <c r="E266" s="5">
        <v>1</v>
      </c>
      <c r="F266" s="5">
        <f t="shared" si="42"/>
        <v>80000</v>
      </c>
      <c r="G266" s="5">
        <v>1</v>
      </c>
      <c r="H266" s="5"/>
      <c r="I266" s="5">
        <v>0</v>
      </c>
      <c r="J266" s="5">
        <f t="shared" si="43"/>
        <v>0</v>
      </c>
      <c r="K266" s="5">
        <v>0</v>
      </c>
      <c r="L266" s="6">
        <f t="shared" si="44"/>
        <v>100000</v>
      </c>
    </row>
    <row r="267" spans="1:12" x14ac:dyDescent="0.45">
      <c r="A267" s="10">
        <f t="shared" si="40"/>
        <v>266</v>
      </c>
      <c r="B267" s="15" t="s">
        <v>335</v>
      </c>
      <c r="C267" s="5" t="s">
        <v>22</v>
      </c>
      <c r="D267" s="5">
        <f t="shared" si="41"/>
        <v>0</v>
      </c>
      <c r="E267" s="5">
        <v>0</v>
      </c>
      <c r="F267" s="5">
        <f t="shared" si="42"/>
        <v>80000</v>
      </c>
      <c r="G267" s="5">
        <v>1</v>
      </c>
      <c r="H267" s="5"/>
      <c r="I267" s="5">
        <v>1</v>
      </c>
      <c r="J267" s="5">
        <f t="shared" si="43"/>
        <v>0</v>
      </c>
      <c r="K267" s="5">
        <v>0</v>
      </c>
      <c r="L267" s="6">
        <f t="shared" si="44"/>
        <v>120000</v>
      </c>
    </row>
    <row r="268" spans="1:12" x14ac:dyDescent="0.45">
      <c r="A268" s="10">
        <f t="shared" si="40"/>
        <v>267</v>
      </c>
      <c r="B268" s="15" t="s">
        <v>336</v>
      </c>
      <c r="C268" s="5" t="s">
        <v>22</v>
      </c>
      <c r="D268" s="5">
        <f t="shared" si="41"/>
        <v>20000</v>
      </c>
      <c r="E268" s="5">
        <v>1</v>
      </c>
      <c r="F268" s="5">
        <f t="shared" si="42"/>
        <v>0</v>
      </c>
      <c r="G268" s="5">
        <v>0</v>
      </c>
      <c r="H268" s="5"/>
      <c r="I268" s="5">
        <v>1</v>
      </c>
      <c r="J268" s="5">
        <f t="shared" si="43"/>
        <v>0</v>
      </c>
      <c r="K268" s="5">
        <v>0</v>
      </c>
      <c r="L268" s="6">
        <f t="shared" si="44"/>
        <v>180000</v>
      </c>
    </row>
    <row r="269" spans="1:12" x14ac:dyDescent="0.45">
      <c r="A269" s="10">
        <f t="shared" si="40"/>
        <v>268</v>
      </c>
      <c r="B269" s="15" t="s">
        <v>337</v>
      </c>
      <c r="C269" s="5" t="s">
        <v>22</v>
      </c>
      <c r="D269" s="5">
        <f t="shared" si="41"/>
        <v>0</v>
      </c>
      <c r="E269" s="5">
        <v>0</v>
      </c>
      <c r="F269" s="5">
        <f t="shared" si="42"/>
        <v>0</v>
      </c>
      <c r="G269" s="5">
        <v>0</v>
      </c>
      <c r="H269" s="5"/>
      <c r="I269" s="5">
        <v>0</v>
      </c>
      <c r="J269" s="5">
        <f t="shared" si="43"/>
        <v>20000</v>
      </c>
      <c r="K269" s="5">
        <v>1</v>
      </c>
      <c r="L269" s="6">
        <f t="shared" si="44"/>
        <v>180000</v>
      </c>
    </row>
    <row r="270" spans="1:12" x14ac:dyDescent="0.45">
      <c r="A270" s="10">
        <f t="shared" si="40"/>
        <v>269</v>
      </c>
      <c r="B270" s="15" t="s">
        <v>338</v>
      </c>
      <c r="C270" s="5" t="s">
        <v>22</v>
      </c>
      <c r="D270" s="5">
        <f t="shared" si="41"/>
        <v>0</v>
      </c>
      <c r="E270" s="5">
        <v>0</v>
      </c>
      <c r="F270" s="5">
        <f t="shared" si="42"/>
        <v>0</v>
      </c>
      <c r="G270" s="5">
        <v>0</v>
      </c>
      <c r="H270" s="5"/>
      <c r="I270" s="5">
        <v>2</v>
      </c>
      <c r="J270" s="5">
        <f t="shared" si="43"/>
        <v>0</v>
      </c>
      <c r="K270" s="5">
        <v>0</v>
      </c>
      <c r="L270" s="6">
        <f t="shared" si="44"/>
        <v>200000</v>
      </c>
    </row>
    <row r="271" spans="1:12" x14ac:dyDescent="0.45">
      <c r="A271" s="10">
        <f t="shared" si="40"/>
        <v>270</v>
      </c>
      <c r="B271" s="15" t="s">
        <v>339</v>
      </c>
      <c r="C271" s="5" t="s">
        <v>22</v>
      </c>
      <c r="D271" s="5">
        <f t="shared" si="41"/>
        <v>0</v>
      </c>
      <c r="E271" s="5">
        <v>0</v>
      </c>
      <c r="F271" s="5">
        <f t="shared" si="42"/>
        <v>0</v>
      </c>
      <c r="G271" s="5">
        <v>0</v>
      </c>
      <c r="H271" s="5"/>
      <c r="I271" s="5">
        <v>0</v>
      </c>
      <c r="J271" s="5">
        <f t="shared" si="43"/>
        <v>0</v>
      </c>
      <c r="K271" s="5">
        <v>0</v>
      </c>
      <c r="L271" s="6">
        <f t="shared" si="44"/>
        <v>200000</v>
      </c>
    </row>
    <row r="272" spans="1:12" x14ac:dyDescent="0.45">
      <c r="A272" s="10">
        <f t="shared" si="40"/>
        <v>271</v>
      </c>
      <c r="B272" s="15" t="s">
        <v>340</v>
      </c>
      <c r="C272" s="5" t="s">
        <v>22</v>
      </c>
      <c r="D272" s="5">
        <f t="shared" si="41"/>
        <v>0</v>
      </c>
      <c r="E272" s="5">
        <v>0</v>
      </c>
      <c r="F272" s="5">
        <f t="shared" si="42"/>
        <v>0</v>
      </c>
      <c r="G272" s="5">
        <v>0</v>
      </c>
      <c r="H272" s="5"/>
      <c r="I272" s="5">
        <v>1</v>
      </c>
      <c r="J272" s="5">
        <f t="shared" si="43"/>
        <v>20000</v>
      </c>
      <c r="K272" s="5">
        <v>1</v>
      </c>
      <c r="L272" s="6">
        <f t="shared" si="44"/>
        <v>180000</v>
      </c>
    </row>
    <row r="273" spans="1:12" x14ac:dyDescent="0.45">
      <c r="A273" s="14">
        <f>ROW(A273)-1</f>
        <v>272</v>
      </c>
      <c r="B273" s="15" t="s">
        <v>371</v>
      </c>
      <c r="C273" s="5" t="s">
        <v>22</v>
      </c>
      <c r="D273" s="15">
        <f>E273*20000</f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16">
        <f>200000-H273-F273-D273-J273</f>
        <v>200000</v>
      </c>
    </row>
    <row r="274" spans="1:12" x14ac:dyDescent="0.45">
      <c r="A274" s="10">
        <f t="shared" ref="A274:A303" si="45">ROW(A274)-1</f>
        <v>273</v>
      </c>
      <c r="B274" s="15" t="s">
        <v>372</v>
      </c>
      <c r="C274" s="5" t="s">
        <v>22</v>
      </c>
      <c r="D274" s="5">
        <f t="shared" ref="D274:D303" si="46">E274*20000</f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6">
        <f t="shared" ref="L274:L303" si="47">200000-H274-F274-D274-J274</f>
        <v>200000</v>
      </c>
    </row>
    <row r="275" spans="1:12" x14ac:dyDescent="0.45">
      <c r="A275" s="10">
        <f t="shared" si="45"/>
        <v>274</v>
      </c>
      <c r="B275" s="15" t="s">
        <v>373</v>
      </c>
      <c r="C275" s="5" t="s">
        <v>22</v>
      </c>
      <c r="D275" s="5">
        <f t="shared" si="46"/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6">
        <f t="shared" si="47"/>
        <v>200000</v>
      </c>
    </row>
    <row r="276" spans="1:12" x14ac:dyDescent="0.45">
      <c r="A276" s="10">
        <f t="shared" si="45"/>
        <v>275</v>
      </c>
      <c r="B276" s="15" t="s">
        <v>374</v>
      </c>
      <c r="C276" s="5" t="s">
        <v>22</v>
      </c>
      <c r="D276" s="5">
        <f t="shared" si="46"/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6">
        <f t="shared" si="47"/>
        <v>200000</v>
      </c>
    </row>
    <row r="277" spans="1:12" x14ac:dyDescent="0.45">
      <c r="A277" s="10">
        <f t="shared" si="45"/>
        <v>276</v>
      </c>
      <c r="B277" s="15" t="s">
        <v>375</v>
      </c>
      <c r="C277" s="5" t="s">
        <v>22</v>
      </c>
      <c r="D277" s="5">
        <f t="shared" si="46"/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6">
        <f t="shared" si="47"/>
        <v>200000</v>
      </c>
    </row>
    <row r="278" spans="1:12" x14ac:dyDescent="0.45">
      <c r="A278" s="10">
        <f t="shared" si="45"/>
        <v>277</v>
      </c>
      <c r="B278" s="15" t="s">
        <v>376</v>
      </c>
      <c r="C278" s="5" t="s">
        <v>22</v>
      </c>
      <c r="D278" s="5">
        <f t="shared" si="46"/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6">
        <f t="shared" si="47"/>
        <v>200000</v>
      </c>
    </row>
    <row r="279" spans="1:12" x14ac:dyDescent="0.45">
      <c r="A279" s="10">
        <f t="shared" si="45"/>
        <v>278</v>
      </c>
      <c r="B279" s="15" t="s">
        <v>377</v>
      </c>
      <c r="C279" s="5" t="s">
        <v>22</v>
      </c>
      <c r="D279" s="5">
        <f t="shared" si="46"/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6">
        <f t="shared" si="47"/>
        <v>200000</v>
      </c>
    </row>
    <row r="280" spans="1:12" x14ac:dyDescent="0.45">
      <c r="A280" s="10">
        <f t="shared" si="45"/>
        <v>279</v>
      </c>
      <c r="B280" s="15" t="s">
        <v>378</v>
      </c>
      <c r="C280" s="5" t="s">
        <v>22</v>
      </c>
      <c r="D280" s="5">
        <f t="shared" si="46"/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6">
        <f t="shared" si="47"/>
        <v>200000</v>
      </c>
    </row>
    <row r="281" spans="1:12" x14ac:dyDescent="0.45">
      <c r="A281" s="10">
        <f t="shared" si="45"/>
        <v>280</v>
      </c>
      <c r="B281" s="15" t="s">
        <v>379</v>
      </c>
      <c r="C281" s="5" t="s">
        <v>22</v>
      </c>
      <c r="D281" s="5">
        <f t="shared" si="46"/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6">
        <f t="shared" si="47"/>
        <v>200000</v>
      </c>
    </row>
    <row r="282" spans="1:12" x14ac:dyDescent="0.45">
      <c r="A282" s="10">
        <f t="shared" si="45"/>
        <v>281</v>
      </c>
      <c r="B282" s="15" t="s">
        <v>380</v>
      </c>
      <c r="C282" s="5" t="s">
        <v>22</v>
      </c>
      <c r="D282" s="5">
        <f t="shared" si="46"/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6">
        <f t="shared" si="47"/>
        <v>200000</v>
      </c>
    </row>
    <row r="283" spans="1:12" x14ac:dyDescent="0.45">
      <c r="A283" s="10">
        <f t="shared" si="45"/>
        <v>282</v>
      </c>
      <c r="B283" s="15" t="s">
        <v>381</v>
      </c>
      <c r="C283" s="5" t="s">
        <v>22</v>
      </c>
      <c r="D283" s="5">
        <f t="shared" si="46"/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6">
        <f t="shared" si="47"/>
        <v>200000</v>
      </c>
    </row>
    <row r="284" spans="1:12" x14ac:dyDescent="0.45">
      <c r="A284" s="10">
        <f t="shared" si="45"/>
        <v>283</v>
      </c>
      <c r="B284" s="15" t="s">
        <v>382</v>
      </c>
      <c r="C284" s="5" t="s">
        <v>22</v>
      </c>
      <c r="D284" s="5">
        <f t="shared" si="46"/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6">
        <f t="shared" si="47"/>
        <v>200000</v>
      </c>
    </row>
    <row r="285" spans="1:12" x14ac:dyDescent="0.45">
      <c r="A285" s="10">
        <f t="shared" si="45"/>
        <v>284</v>
      </c>
      <c r="B285" s="15" t="s">
        <v>383</v>
      </c>
      <c r="C285" s="5" t="s">
        <v>22</v>
      </c>
      <c r="D285" s="5">
        <f t="shared" si="46"/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6">
        <f t="shared" si="47"/>
        <v>200000</v>
      </c>
    </row>
    <row r="286" spans="1:12" x14ac:dyDescent="0.45">
      <c r="A286" s="10">
        <f t="shared" si="45"/>
        <v>285</v>
      </c>
      <c r="B286" s="15" t="s">
        <v>384</v>
      </c>
      <c r="C286" s="5" t="s">
        <v>22</v>
      </c>
      <c r="D286" s="5">
        <f t="shared" si="46"/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6">
        <f t="shared" si="47"/>
        <v>200000</v>
      </c>
    </row>
    <row r="287" spans="1:12" x14ac:dyDescent="0.45">
      <c r="A287" s="10">
        <f t="shared" si="45"/>
        <v>286</v>
      </c>
      <c r="B287" s="15" t="s">
        <v>385</v>
      </c>
      <c r="C287" s="5" t="s">
        <v>22</v>
      </c>
      <c r="D287" s="5">
        <f t="shared" si="46"/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6">
        <f t="shared" si="47"/>
        <v>200000</v>
      </c>
    </row>
    <row r="288" spans="1:12" x14ac:dyDescent="0.45">
      <c r="A288" s="10">
        <f t="shared" si="45"/>
        <v>287</v>
      </c>
      <c r="B288" s="15" t="s">
        <v>386</v>
      </c>
      <c r="C288" s="5" t="s">
        <v>22</v>
      </c>
      <c r="D288" s="5">
        <f t="shared" si="46"/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6">
        <f t="shared" si="47"/>
        <v>200000</v>
      </c>
    </row>
    <row r="289" spans="1:12" x14ac:dyDescent="0.45">
      <c r="A289" s="10">
        <f t="shared" si="45"/>
        <v>288</v>
      </c>
      <c r="B289" s="15" t="s">
        <v>387</v>
      </c>
      <c r="C289" s="5" t="s">
        <v>22</v>
      </c>
      <c r="D289" s="5">
        <f t="shared" si="46"/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6">
        <f t="shared" si="47"/>
        <v>200000</v>
      </c>
    </row>
    <row r="290" spans="1:12" x14ac:dyDescent="0.45">
      <c r="A290" s="10">
        <f t="shared" si="45"/>
        <v>289</v>
      </c>
      <c r="B290" s="15" t="s">
        <v>388</v>
      </c>
      <c r="C290" s="5" t="s">
        <v>22</v>
      </c>
      <c r="D290" s="5">
        <f t="shared" si="46"/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6">
        <f t="shared" si="47"/>
        <v>200000</v>
      </c>
    </row>
    <row r="291" spans="1:12" x14ac:dyDescent="0.45">
      <c r="A291" s="10">
        <f t="shared" si="45"/>
        <v>290</v>
      </c>
      <c r="B291" s="15" t="s">
        <v>389</v>
      </c>
      <c r="C291" s="5" t="s">
        <v>22</v>
      </c>
      <c r="D291" s="5">
        <f t="shared" si="46"/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6">
        <f t="shared" si="47"/>
        <v>200000</v>
      </c>
    </row>
    <row r="292" spans="1:12" x14ac:dyDescent="0.45">
      <c r="A292" s="10">
        <f t="shared" si="45"/>
        <v>291</v>
      </c>
      <c r="B292" s="15" t="s">
        <v>390</v>
      </c>
      <c r="C292" s="5" t="s">
        <v>22</v>
      </c>
      <c r="D292" s="5">
        <f t="shared" si="46"/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6">
        <f t="shared" si="47"/>
        <v>200000</v>
      </c>
    </row>
    <row r="293" spans="1:12" x14ac:dyDescent="0.45">
      <c r="A293" s="10">
        <f t="shared" si="45"/>
        <v>292</v>
      </c>
      <c r="B293" s="15" t="s">
        <v>391</v>
      </c>
      <c r="C293" s="5" t="s">
        <v>22</v>
      </c>
      <c r="D293" s="5">
        <f t="shared" si="46"/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6">
        <f t="shared" si="47"/>
        <v>200000</v>
      </c>
    </row>
    <row r="294" spans="1:12" x14ac:dyDescent="0.45">
      <c r="A294" s="10">
        <f t="shared" si="45"/>
        <v>293</v>
      </c>
      <c r="B294" s="15" t="s">
        <v>392</v>
      </c>
      <c r="C294" s="5" t="s">
        <v>22</v>
      </c>
      <c r="D294" s="5">
        <f t="shared" si="46"/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6">
        <f t="shared" si="47"/>
        <v>200000</v>
      </c>
    </row>
    <row r="295" spans="1:12" x14ac:dyDescent="0.45">
      <c r="A295" s="10">
        <f t="shared" si="45"/>
        <v>294</v>
      </c>
      <c r="B295" s="15" t="s">
        <v>393</v>
      </c>
      <c r="C295" s="5" t="s">
        <v>22</v>
      </c>
      <c r="D295" s="5">
        <f t="shared" si="46"/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6">
        <f t="shared" si="47"/>
        <v>200000</v>
      </c>
    </row>
    <row r="296" spans="1:12" x14ac:dyDescent="0.45">
      <c r="A296" s="10">
        <f t="shared" si="45"/>
        <v>295</v>
      </c>
      <c r="B296" s="15" t="s">
        <v>394</v>
      </c>
      <c r="C296" s="5" t="s">
        <v>22</v>
      </c>
      <c r="D296" s="5">
        <f t="shared" si="46"/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6">
        <f t="shared" si="47"/>
        <v>200000</v>
      </c>
    </row>
    <row r="297" spans="1:12" x14ac:dyDescent="0.45">
      <c r="A297" s="10">
        <f t="shared" si="45"/>
        <v>296</v>
      </c>
      <c r="B297" s="15" t="s">
        <v>395</v>
      </c>
      <c r="C297" s="5" t="s">
        <v>22</v>
      </c>
      <c r="D297" s="5">
        <f t="shared" si="46"/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6">
        <f t="shared" si="47"/>
        <v>200000</v>
      </c>
    </row>
    <row r="298" spans="1:12" x14ac:dyDescent="0.45">
      <c r="A298" s="10">
        <f t="shared" si="45"/>
        <v>297</v>
      </c>
      <c r="B298" s="15" t="s">
        <v>396</v>
      </c>
      <c r="C298" s="5" t="s">
        <v>22</v>
      </c>
      <c r="D298" s="5">
        <f t="shared" si="46"/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6">
        <f t="shared" si="47"/>
        <v>200000</v>
      </c>
    </row>
    <row r="299" spans="1:12" x14ac:dyDescent="0.45">
      <c r="A299" s="10">
        <f t="shared" si="45"/>
        <v>298</v>
      </c>
      <c r="B299" s="15" t="s">
        <v>397</v>
      </c>
      <c r="C299" s="5" t="s">
        <v>22</v>
      </c>
      <c r="D299" s="5">
        <f t="shared" si="46"/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6">
        <f t="shared" si="47"/>
        <v>200000</v>
      </c>
    </row>
    <row r="300" spans="1:12" x14ac:dyDescent="0.45">
      <c r="A300" s="10">
        <f t="shared" si="45"/>
        <v>299</v>
      </c>
      <c r="B300" s="15" t="s">
        <v>398</v>
      </c>
      <c r="C300" s="5" t="s">
        <v>22</v>
      </c>
      <c r="D300" s="5">
        <f t="shared" si="46"/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6">
        <f t="shared" si="47"/>
        <v>200000</v>
      </c>
    </row>
    <row r="301" spans="1:12" x14ac:dyDescent="0.45">
      <c r="A301" s="10">
        <f t="shared" si="45"/>
        <v>300</v>
      </c>
      <c r="B301" s="15" t="s">
        <v>399</v>
      </c>
      <c r="C301" s="5" t="s">
        <v>22</v>
      </c>
      <c r="D301" s="5">
        <f t="shared" si="46"/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6">
        <f t="shared" si="47"/>
        <v>200000</v>
      </c>
    </row>
    <row r="302" spans="1:12" x14ac:dyDescent="0.45">
      <c r="A302" s="10">
        <f t="shared" si="45"/>
        <v>301</v>
      </c>
      <c r="B302" s="15" t="s">
        <v>400</v>
      </c>
      <c r="C302" s="5" t="s">
        <v>22</v>
      </c>
      <c r="D302" s="5">
        <f t="shared" si="46"/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6">
        <f t="shared" si="47"/>
        <v>200000</v>
      </c>
    </row>
    <row r="303" spans="1:12" x14ac:dyDescent="0.45">
      <c r="A303" s="10">
        <f t="shared" si="45"/>
        <v>302</v>
      </c>
      <c r="B303" s="15" t="s">
        <v>401</v>
      </c>
      <c r="C303" s="5" t="s">
        <v>22</v>
      </c>
      <c r="D303" s="5">
        <f t="shared" si="46"/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6">
        <f t="shared" si="47"/>
        <v>200000</v>
      </c>
    </row>
  </sheetData>
  <phoneticPr fontId="4" type="noConversion"/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مرجع!$A:$A</xm:f>
          </x14:formula1>
          <xm:sqref>B2:B303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5"/>
  <sheetViews>
    <sheetView rightToLeft="1" workbookViewId="0">
      <selection activeCell="M16" sqref="M16"/>
    </sheetView>
  </sheetViews>
  <sheetFormatPr defaultColWidth="9.59765625" defaultRowHeight="14.25" x14ac:dyDescent="0.45"/>
  <cols>
    <col min="1" max="1" width="8.59765625" style="8" customWidth="1"/>
    <col min="2" max="2" width="12.3984375" style="8" bestFit="1" customWidth="1"/>
    <col min="3" max="3" width="19.59765625" style="8" customWidth="1"/>
    <col min="4" max="4" width="8.59765625" style="8" hidden="1" customWidth="1"/>
    <col min="5" max="5" width="13.3984375" style="8" bestFit="1" customWidth="1"/>
    <col min="6" max="6" width="8.59765625" style="8" hidden="1" customWidth="1"/>
    <col min="7" max="7" width="17.59765625" style="8" bestFit="1" customWidth="1"/>
    <col min="8" max="8" width="8.59765625" style="8" hidden="1" customWidth="1"/>
    <col min="9" max="9" width="14.86328125" style="8" customWidth="1"/>
    <col min="10" max="10" width="15.59765625" style="8" hidden="1" customWidth="1"/>
    <col min="11" max="11" width="24.59765625" style="8" customWidth="1"/>
    <col min="12" max="12" width="15.59765625" style="8" hidden="1" customWidth="1"/>
    <col min="13" max="13" width="19.59765625" style="8" bestFit="1" customWidth="1"/>
    <col min="14" max="14" width="19.3984375" style="8" bestFit="1" customWidth="1"/>
  </cols>
  <sheetData>
    <row r="1" spans="1:14" ht="21.4" x14ac:dyDescent="1">
      <c r="A1" s="11" t="s">
        <v>343</v>
      </c>
      <c r="B1" s="12" t="s">
        <v>0</v>
      </c>
      <c r="C1" s="12" t="s">
        <v>342</v>
      </c>
      <c r="D1" s="12" t="s">
        <v>349</v>
      </c>
      <c r="E1" s="12" t="s">
        <v>356</v>
      </c>
      <c r="F1" s="12" t="s">
        <v>350</v>
      </c>
      <c r="G1" s="12" t="s">
        <v>357</v>
      </c>
      <c r="H1" s="12" t="s">
        <v>351</v>
      </c>
      <c r="I1" s="12" t="s">
        <v>358</v>
      </c>
      <c r="J1" s="12" t="s">
        <v>352</v>
      </c>
      <c r="K1" s="12" t="s">
        <v>370</v>
      </c>
      <c r="L1" s="12" t="s">
        <v>353</v>
      </c>
      <c r="M1" s="12" t="s">
        <v>359</v>
      </c>
      <c r="N1" s="13" t="s">
        <v>346</v>
      </c>
    </row>
    <row r="2" spans="1:14" x14ac:dyDescent="0.45">
      <c r="A2" s="10">
        <f>ROW(A2)-1</f>
        <v>1</v>
      </c>
      <c r="B2" s="5" t="s">
        <v>68</v>
      </c>
      <c r="C2" s="5" t="s">
        <v>24</v>
      </c>
      <c r="D2" s="5">
        <f>E2*20000</f>
        <v>60000</v>
      </c>
      <c r="E2" s="5">
        <v>3</v>
      </c>
      <c r="F2" s="5">
        <f t="shared" ref="F2:F66" si="0">G2*30000</f>
        <v>60000</v>
      </c>
      <c r="G2" s="5">
        <v>2</v>
      </c>
      <c r="H2" s="5">
        <f t="shared" ref="H2:H66" si="1">I2*30000</f>
        <v>60000</v>
      </c>
      <c r="I2" s="5">
        <v>2</v>
      </c>
      <c r="J2" s="5">
        <f t="shared" ref="J2:J66" si="2">K2*3000</f>
        <v>0</v>
      </c>
      <c r="K2" s="5">
        <v>0</v>
      </c>
      <c r="L2" s="5">
        <f t="shared" ref="L2:L66" si="3">M2*15000</f>
        <v>0</v>
      </c>
      <c r="M2" s="5">
        <v>0</v>
      </c>
      <c r="N2" s="6">
        <f>400000-L2-H2-F2-D2-Table3[[#This Row],[Column4]]</f>
        <v>220000</v>
      </c>
    </row>
    <row r="3" spans="1:14" x14ac:dyDescent="0.45">
      <c r="A3" s="10">
        <f t="shared" ref="A3:A66" si="4">ROW(A3)-1</f>
        <v>2</v>
      </c>
      <c r="B3" s="5" t="s">
        <v>69</v>
      </c>
      <c r="C3" s="5" t="s">
        <v>24</v>
      </c>
      <c r="D3" s="5">
        <f t="shared" ref="D3:D66" si="5">E3*20000</f>
        <v>60000</v>
      </c>
      <c r="E3" s="5">
        <v>3</v>
      </c>
      <c r="F3" s="5">
        <f t="shared" si="0"/>
        <v>60000</v>
      </c>
      <c r="G3" s="5">
        <v>2</v>
      </c>
      <c r="H3" s="5">
        <f t="shared" si="1"/>
        <v>30000</v>
      </c>
      <c r="I3" s="5">
        <v>1</v>
      </c>
      <c r="J3" s="5">
        <f t="shared" si="2"/>
        <v>0</v>
      </c>
      <c r="K3" s="5">
        <v>0</v>
      </c>
      <c r="L3" s="5">
        <f t="shared" si="3"/>
        <v>15000</v>
      </c>
      <c r="M3" s="5">
        <v>1</v>
      </c>
      <c r="N3" s="6">
        <f>400000-L3-H3-F3-D3-Table3[[#This Row],[Column4]]</f>
        <v>235000</v>
      </c>
    </row>
    <row r="4" spans="1:14" x14ac:dyDescent="0.45">
      <c r="A4" s="10">
        <f t="shared" si="4"/>
        <v>3</v>
      </c>
      <c r="B4" s="5" t="s">
        <v>70</v>
      </c>
      <c r="C4" s="5" t="s">
        <v>24</v>
      </c>
      <c r="D4" s="5">
        <f t="shared" si="5"/>
        <v>20000</v>
      </c>
      <c r="E4" s="5">
        <v>1</v>
      </c>
      <c r="F4" s="5">
        <f t="shared" si="0"/>
        <v>0</v>
      </c>
      <c r="G4" s="5">
        <v>0</v>
      </c>
      <c r="H4" s="5">
        <f t="shared" si="1"/>
        <v>0</v>
      </c>
      <c r="I4" s="5">
        <v>0</v>
      </c>
      <c r="J4" s="5">
        <f t="shared" si="2"/>
        <v>0</v>
      </c>
      <c r="K4" s="5">
        <v>0</v>
      </c>
      <c r="L4" s="5">
        <f t="shared" si="3"/>
        <v>0</v>
      </c>
      <c r="M4" s="5">
        <v>0</v>
      </c>
      <c r="N4" s="6">
        <f>400000-L4-H4-F4-D4-Table3[[#This Row],[Column4]]</f>
        <v>380000</v>
      </c>
    </row>
    <row r="5" spans="1:14" x14ac:dyDescent="0.45">
      <c r="A5" s="10">
        <f t="shared" si="4"/>
        <v>4</v>
      </c>
      <c r="B5" s="5" t="s">
        <v>71</v>
      </c>
      <c r="C5" s="5" t="s">
        <v>24</v>
      </c>
      <c r="D5" s="5">
        <f t="shared" si="5"/>
        <v>60000</v>
      </c>
      <c r="E5" s="5">
        <v>3</v>
      </c>
      <c r="F5" s="5">
        <f t="shared" si="0"/>
        <v>30000</v>
      </c>
      <c r="G5" s="5">
        <v>1</v>
      </c>
      <c r="H5" s="5">
        <f t="shared" si="1"/>
        <v>0</v>
      </c>
      <c r="I5" s="5">
        <v>0</v>
      </c>
      <c r="J5" s="5">
        <f t="shared" si="2"/>
        <v>0</v>
      </c>
      <c r="K5" s="5">
        <v>0</v>
      </c>
      <c r="L5" s="5">
        <f t="shared" si="3"/>
        <v>15000</v>
      </c>
      <c r="M5" s="5">
        <v>1</v>
      </c>
      <c r="N5" s="6">
        <f>400000-L5-H5-F5-D5-Table3[[#This Row],[Column4]]</f>
        <v>295000</v>
      </c>
    </row>
    <row r="6" spans="1:14" x14ac:dyDescent="0.45">
      <c r="A6" s="10">
        <f t="shared" si="4"/>
        <v>5</v>
      </c>
      <c r="B6" s="5" t="s">
        <v>72</v>
      </c>
      <c r="C6" s="5" t="s">
        <v>24</v>
      </c>
      <c r="D6" s="5">
        <f t="shared" si="5"/>
        <v>20000</v>
      </c>
      <c r="E6" s="5">
        <v>1</v>
      </c>
      <c r="F6" s="5">
        <f t="shared" si="0"/>
        <v>30000</v>
      </c>
      <c r="G6" s="5">
        <v>1</v>
      </c>
      <c r="H6" s="5">
        <f t="shared" si="1"/>
        <v>0</v>
      </c>
      <c r="I6" s="5">
        <v>0</v>
      </c>
      <c r="J6" s="5">
        <f t="shared" si="2"/>
        <v>0</v>
      </c>
      <c r="K6" s="5">
        <v>0</v>
      </c>
      <c r="L6" s="5">
        <f t="shared" si="3"/>
        <v>30000</v>
      </c>
      <c r="M6" s="5">
        <v>2</v>
      </c>
      <c r="N6" s="6">
        <f>400000-L6-H6-F6-D6-Table3[[#This Row],[Column4]]</f>
        <v>320000</v>
      </c>
    </row>
    <row r="7" spans="1:14" x14ac:dyDescent="0.45">
      <c r="A7" s="10">
        <f t="shared" si="4"/>
        <v>6</v>
      </c>
      <c r="B7" s="5" t="s">
        <v>73</v>
      </c>
      <c r="C7" s="5" t="s">
        <v>24</v>
      </c>
      <c r="D7" s="5">
        <f t="shared" si="5"/>
        <v>20000</v>
      </c>
      <c r="E7" s="5">
        <v>1</v>
      </c>
      <c r="F7" s="5">
        <f t="shared" si="0"/>
        <v>0</v>
      </c>
      <c r="G7" s="5">
        <v>0</v>
      </c>
      <c r="H7" s="5">
        <f t="shared" si="1"/>
        <v>0</v>
      </c>
      <c r="I7" s="5">
        <v>0</v>
      </c>
      <c r="J7" s="5">
        <f t="shared" si="2"/>
        <v>51000</v>
      </c>
      <c r="K7" s="5">
        <v>17</v>
      </c>
      <c r="L7" s="5">
        <f t="shared" si="3"/>
        <v>0</v>
      </c>
      <c r="M7" s="5">
        <v>0</v>
      </c>
      <c r="N7" s="6">
        <f>400000-L7-H7-F7-D7-Table3[[#This Row],[Column4]]</f>
        <v>329000</v>
      </c>
    </row>
    <row r="8" spans="1:14" x14ac:dyDescent="0.45">
      <c r="A8" s="10">
        <f t="shared" si="4"/>
        <v>7</v>
      </c>
      <c r="B8" s="5" t="s">
        <v>74</v>
      </c>
      <c r="C8" s="5" t="s">
        <v>24</v>
      </c>
      <c r="D8" s="5">
        <f t="shared" si="5"/>
        <v>80000</v>
      </c>
      <c r="E8" s="5">
        <v>4</v>
      </c>
      <c r="F8" s="5">
        <f t="shared" si="0"/>
        <v>60000</v>
      </c>
      <c r="G8" s="5">
        <v>2</v>
      </c>
      <c r="H8" s="5">
        <f t="shared" si="1"/>
        <v>0</v>
      </c>
      <c r="I8" s="5">
        <v>0</v>
      </c>
      <c r="J8" s="5">
        <f t="shared" si="2"/>
        <v>0</v>
      </c>
      <c r="K8" s="5">
        <v>0</v>
      </c>
      <c r="L8" s="5">
        <f t="shared" si="3"/>
        <v>45000</v>
      </c>
      <c r="M8" s="5">
        <v>3</v>
      </c>
      <c r="N8" s="6">
        <f>400000-L8-H8-F8-D8-Table3[[#This Row],[Column4]]</f>
        <v>215000</v>
      </c>
    </row>
    <row r="9" spans="1:14" x14ac:dyDescent="0.45">
      <c r="A9" s="10">
        <f t="shared" si="4"/>
        <v>8</v>
      </c>
      <c r="B9" s="5" t="s">
        <v>75</v>
      </c>
      <c r="C9" s="5" t="s">
        <v>24</v>
      </c>
      <c r="D9" s="5">
        <f t="shared" si="5"/>
        <v>20000</v>
      </c>
      <c r="E9" s="5">
        <v>1</v>
      </c>
      <c r="F9" s="5">
        <f t="shared" si="0"/>
        <v>30000</v>
      </c>
      <c r="G9" s="5">
        <v>1</v>
      </c>
      <c r="H9" s="5">
        <f t="shared" si="1"/>
        <v>0</v>
      </c>
      <c r="I9" s="5">
        <v>0</v>
      </c>
      <c r="J9" s="5">
        <f t="shared" si="2"/>
        <v>0</v>
      </c>
      <c r="K9" s="5">
        <v>0</v>
      </c>
      <c r="L9" s="5">
        <f t="shared" si="3"/>
        <v>15000</v>
      </c>
      <c r="M9" s="5">
        <v>1</v>
      </c>
      <c r="N9" s="6">
        <f>400000-L9-H9-F9-D9-Table3[[#This Row],[Column4]]</f>
        <v>335000</v>
      </c>
    </row>
    <row r="10" spans="1:14" x14ac:dyDescent="0.45">
      <c r="A10" s="10">
        <f t="shared" si="4"/>
        <v>9</v>
      </c>
      <c r="B10" s="5" t="s">
        <v>76</v>
      </c>
      <c r="C10" s="5" t="s">
        <v>24</v>
      </c>
      <c r="D10" s="5">
        <f t="shared" si="5"/>
        <v>40000</v>
      </c>
      <c r="E10" s="5">
        <v>2</v>
      </c>
      <c r="F10" s="5">
        <f t="shared" si="0"/>
        <v>30000</v>
      </c>
      <c r="G10" s="5">
        <v>1</v>
      </c>
      <c r="H10" s="5">
        <f t="shared" si="1"/>
        <v>30000</v>
      </c>
      <c r="I10" s="5">
        <v>1</v>
      </c>
      <c r="J10" s="5">
        <f t="shared" si="2"/>
        <v>18000</v>
      </c>
      <c r="K10" s="5">
        <v>6</v>
      </c>
      <c r="L10" s="5">
        <f t="shared" si="3"/>
        <v>15000</v>
      </c>
      <c r="M10" s="5">
        <v>1</v>
      </c>
      <c r="N10" s="6">
        <f>400000-L10-H10-F10-D10-Table3[[#This Row],[Column4]]</f>
        <v>267000</v>
      </c>
    </row>
    <row r="11" spans="1:14" x14ac:dyDescent="0.45">
      <c r="A11" s="10">
        <f t="shared" si="4"/>
        <v>10</v>
      </c>
      <c r="B11" s="5" t="s">
        <v>77</v>
      </c>
      <c r="C11" s="5" t="s">
        <v>24</v>
      </c>
      <c r="D11" s="5">
        <f t="shared" si="5"/>
        <v>0</v>
      </c>
      <c r="E11" s="5">
        <v>0</v>
      </c>
      <c r="F11" s="5">
        <f t="shared" si="0"/>
        <v>0</v>
      </c>
      <c r="G11" s="5">
        <v>0</v>
      </c>
      <c r="H11" s="5">
        <f t="shared" si="1"/>
        <v>0</v>
      </c>
      <c r="I11" s="5">
        <v>0</v>
      </c>
      <c r="J11" s="5">
        <f t="shared" si="2"/>
        <v>9000</v>
      </c>
      <c r="K11" s="5">
        <v>3</v>
      </c>
      <c r="L11" s="5">
        <f t="shared" si="3"/>
        <v>30000</v>
      </c>
      <c r="M11" s="5">
        <v>2</v>
      </c>
      <c r="N11" s="6">
        <f>400000-L11-H11-F11-D11-Table3[[#This Row],[Column4]]</f>
        <v>361000</v>
      </c>
    </row>
    <row r="12" spans="1:14" x14ac:dyDescent="0.45">
      <c r="A12" s="10">
        <f t="shared" si="4"/>
        <v>11</v>
      </c>
      <c r="B12" s="5" t="s">
        <v>78</v>
      </c>
      <c r="C12" s="5" t="s">
        <v>24</v>
      </c>
      <c r="D12" s="5">
        <f t="shared" si="5"/>
        <v>60000</v>
      </c>
      <c r="E12" s="5">
        <v>3</v>
      </c>
      <c r="F12" s="5">
        <f t="shared" si="0"/>
        <v>90000</v>
      </c>
      <c r="G12" s="5">
        <v>3</v>
      </c>
      <c r="H12" s="5">
        <f t="shared" si="1"/>
        <v>0</v>
      </c>
      <c r="I12" s="5">
        <v>0</v>
      </c>
      <c r="J12" s="5">
        <f t="shared" si="2"/>
        <v>36000</v>
      </c>
      <c r="K12" s="5">
        <v>12</v>
      </c>
      <c r="L12" s="5">
        <f t="shared" si="3"/>
        <v>30000</v>
      </c>
      <c r="M12" s="5">
        <v>2</v>
      </c>
      <c r="N12" s="6">
        <f>400000-L12-H12-F12-D12-Table3[[#This Row],[Column4]]</f>
        <v>184000</v>
      </c>
    </row>
    <row r="13" spans="1:14" x14ac:dyDescent="0.45">
      <c r="A13" s="10">
        <f t="shared" si="4"/>
        <v>12</v>
      </c>
      <c r="B13" s="5" t="s">
        <v>79</v>
      </c>
      <c r="C13" s="5" t="s">
        <v>24</v>
      </c>
      <c r="D13" s="5">
        <f t="shared" si="5"/>
        <v>40000</v>
      </c>
      <c r="E13" s="5">
        <v>2</v>
      </c>
      <c r="F13" s="5">
        <f t="shared" si="0"/>
        <v>60000</v>
      </c>
      <c r="G13" s="5">
        <v>2</v>
      </c>
      <c r="H13" s="5">
        <f t="shared" si="1"/>
        <v>30000</v>
      </c>
      <c r="I13" s="5">
        <v>1</v>
      </c>
      <c r="J13" s="5">
        <f t="shared" si="2"/>
        <v>159000</v>
      </c>
      <c r="K13" s="5">
        <v>53</v>
      </c>
      <c r="L13" s="5">
        <f t="shared" si="3"/>
        <v>30000</v>
      </c>
      <c r="M13" s="5">
        <v>2</v>
      </c>
      <c r="N13" s="6">
        <f>400000-L13-H13-F13-D13-Table3[[#This Row],[Column4]]</f>
        <v>81000</v>
      </c>
    </row>
    <row r="14" spans="1:14" x14ac:dyDescent="0.45">
      <c r="A14" s="10">
        <f t="shared" si="4"/>
        <v>13</v>
      </c>
      <c r="B14" s="5" t="s">
        <v>80</v>
      </c>
      <c r="C14" s="5" t="s">
        <v>24</v>
      </c>
      <c r="D14" s="5">
        <f t="shared" si="5"/>
        <v>20000</v>
      </c>
      <c r="E14" s="5">
        <v>1</v>
      </c>
      <c r="F14" s="5">
        <f t="shared" si="0"/>
        <v>0</v>
      </c>
      <c r="G14" s="5">
        <v>0</v>
      </c>
      <c r="H14" s="5">
        <f t="shared" si="1"/>
        <v>60000</v>
      </c>
      <c r="I14" s="5">
        <v>2</v>
      </c>
      <c r="J14" s="5">
        <f t="shared" si="2"/>
        <v>225000</v>
      </c>
      <c r="K14" s="5">
        <v>75</v>
      </c>
      <c r="L14" s="5">
        <f t="shared" si="3"/>
        <v>15000</v>
      </c>
      <c r="M14" s="5">
        <v>1</v>
      </c>
      <c r="N14" s="6">
        <f>400000-L14-H14-F14-D14-Table3[[#This Row],[Column4]]</f>
        <v>80000</v>
      </c>
    </row>
    <row r="15" spans="1:14" x14ac:dyDescent="0.45">
      <c r="A15" s="10">
        <f t="shared" si="4"/>
        <v>14</v>
      </c>
      <c r="B15" s="5" t="s">
        <v>81</v>
      </c>
      <c r="C15" s="5" t="s">
        <v>24</v>
      </c>
      <c r="D15" s="5">
        <f t="shared" si="5"/>
        <v>20000</v>
      </c>
      <c r="E15" s="5">
        <v>1</v>
      </c>
      <c r="F15" s="5">
        <f t="shared" si="0"/>
        <v>30000</v>
      </c>
      <c r="G15" s="5">
        <v>1</v>
      </c>
      <c r="H15" s="5">
        <f t="shared" si="1"/>
        <v>0</v>
      </c>
      <c r="I15" s="5">
        <v>0</v>
      </c>
      <c r="J15" s="5">
        <f t="shared" si="2"/>
        <v>66000</v>
      </c>
      <c r="K15" s="5">
        <v>22</v>
      </c>
      <c r="L15" s="5">
        <f t="shared" si="3"/>
        <v>0</v>
      </c>
      <c r="M15" s="5">
        <v>0</v>
      </c>
      <c r="N15" s="6">
        <f>400000-L15-H15-F15-D15-Table3[[#This Row],[Column4]]</f>
        <v>284000</v>
      </c>
    </row>
    <row r="16" spans="1:14" x14ac:dyDescent="0.45">
      <c r="A16" s="10">
        <f t="shared" si="4"/>
        <v>15</v>
      </c>
      <c r="B16" s="5" t="s">
        <v>82</v>
      </c>
      <c r="C16" s="5" t="s">
        <v>24</v>
      </c>
      <c r="D16" s="5">
        <f t="shared" si="5"/>
        <v>40000</v>
      </c>
      <c r="E16" s="5">
        <v>2</v>
      </c>
      <c r="F16" s="5">
        <f t="shared" si="0"/>
        <v>30000</v>
      </c>
      <c r="G16" s="5">
        <v>1</v>
      </c>
      <c r="H16" s="5">
        <f t="shared" si="1"/>
        <v>0</v>
      </c>
      <c r="I16" s="5">
        <v>0</v>
      </c>
      <c r="J16" s="5">
        <f t="shared" si="2"/>
        <v>171000</v>
      </c>
      <c r="K16" s="5">
        <v>57</v>
      </c>
      <c r="L16" s="5">
        <f t="shared" si="3"/>
        <v>45000</v>
      </c>
      <c r="M16" s="5">
        <v>3</v>
      </c>
      <c r="N16" s="6">
        <f>400000-L16-H16-F16-D16-Table3[[#This Row],[Column4]]</f>
        <v>114000</v>
      </c>
    </row>
    <row r="17" spans="1:14" x14ac:dyDescent="0.45">
      <c r="A17" s="10">
        <f t="shared" si="4"/>
        <v>16</v>
      </c>
      <c r="B17" s="5" t="s">
        <v>83</v>
      </c>
      <c r="C17" s="5" t="s">
        <v>24</v>
      </c>
      <c r="D17" s="5">
        <f t="shared" si="5"/>
        <v>20000</v>
      </c>
      <c r="E17" s="5">
        <v>1</v>
      </c>
      <c r="F17" s="5">
        <f t="shared" si="0"/>
        <v>30000</v>
      </c>
      <c r="G17" s="5">
        <v>1</v>
      </c>
      <c r="H17" s="5">
        <f t="shared" si="1"/>
        <v>0</v>
      </c>
      <c r="I17" s="5">
        <v>0</v>
      </c>
      <c r="J17" s="5">
        <f t="shared" si="2"/>
        <v>141000</v>
      </c>
      <c r="K17" s="5">
        <v>47</v>
      </c>
      <c r="L17" s="5">
        <f t="shared" si="3"/>
        <v>0</v>
      </c>
      <c r="M17" s="5">
        <v>0</v>
      </c>
      <c r="N17" s="6">
        <f>400000-L17-H17-F17-D17-Table3[[#This Row],[Column4]]</f>
        <v>209000</v>
      </c>
    </row>
    <row r="18" spans="1:14" x14ac:dyDescent="0.45">
      <c r="A18" s="10">
        <f t="shared" si="4"/>
        <v>17</v>
      </c>
      <c r="B18" s="5" t="s">
        <v>84</v>
      </c>
      <c r="C18" s="5" t="s">
        <v>24</v>
      </c>
      <c r="D18" s="5">
        <f t="shared" si="5"/>
        <v>20000</v>
      </c>
      <c r="E18" s="5">
        <v>1</v>
      </c>
      <c r="F18" s="5">
        <f t="shared" si="0"/>
        <v>0</v>
      </c>
      <c r="G18" s="5">
        <v>0</v>
      </c>
      <c r="H18" s="5">
        <f t="shared" si="1"/>
        <v>0</v>
      </c>
      <c r="I18" s="5">
        <v>0</v>
      </c>
      <c r="J18" s="5">
        <f t="shared" si="2"/>
        <v>21000</v>
      </c>
      <c r="K18" s="5">
        <v>7</v>
      </c>
      <c r="L18" s="5">
        <f t="shared" si="3"/>
        <v>15000</v>
      </c>
      <c r="M18" s="5">
        <v>1</v>
      </c>
      <c r="N18" s="6">
        <f>400000-L18-H18-F18-D18-Table3[[#This Row],[Column4]]</f>
        <v>344000</v>
      </c>
    </row>
    <row r="19" spans="1:14" x14ac:dyDescent="0.45">
      <c r="A19" s="10">
        <f t="shared" si="4"/>
        <v>18</v>
      </c>
      <c r="B19" s="5" t="s">
        <v>85</v>
      </c>
      <c r="C19" s="5" t="s">
        <v>24</v>
      </c>
      <c r="D19" s="5">
        <f t="shared" si="5"/>
        <v>40000</v>
      </c>
      <c r="E19" s="5">
        <v>2</v>
      </c>
      <c r="F19" s="5">
        <f t="shared" si="0"/>
        <v>30000</v>
      </c>
      <c r="G19" s="5">
        <v>1</v>
      </c>
      <c r="H19" s="5">
        <f t="shared" si="1"/>
        <v>0</v>
      </c>
      <c r="I19" s="5">
        <v>0</v>
      </c>
      <c r="J19" s="5">
        <f t="shared" si="2"/>
        <v>147000</v>
      </c>
      <c r="K19" s="5">
        <v>49</v>
      </c>
      <c r="L19" s="5">
        <f t="shared" si="3"/>
        <v>30000</v>
      </c>
      <c r="M19" s="5">
        <v>2</v>
      </c>
      <c r="N19" s="6">
        <f>400000-L19-H19-F19-D19-Table3[[#This Row],[Column4]]</f>
        <v>153000</v>
      </c>
    </row>
    <row r="20" spans="1:14" x14ac:dyDescent="0.45">
      <c r="A20" s="10">
        <f t="shared" si="4"/>
        <v>19</v>
      </c>
      <c r="B20" s="5" t="s">
        <v>86</v>
      </c>
      <c r="C20" s="5" t="s">
        <v>24</v>
      </c>
      <c r="D20" s="5">
        <f t="shared" si="5"/>
        <v>0</v>
      </c>
      <c r="E20" s="5">
        <v>0</v>
      </c>
      <c r="F20" s="5">
        <f t="shared" si="0"/>
        <v>0</v>
      </c>
      <c r="G20" s="5">
        <v>0</v>
      </c>
      <c r="H20" s="5">
        <f t="shared" si="1"/>
        <v>0</v>
      </c>
      <c r="I20" s="5">
        <v>0</v>
      </c>
      <c r="J20" s="5">
        <f t="shared" si="2"/>
        <v>66000</v>
      </c>
      <c r="K20" s="5">
        <v>22</v>
      </c>
      <c r="L20" s="5">
        <f t="shared" si="3"/>
        <v>0</v>
      </c>
      <c r="M20" s="5">
        <v>0</v>
      </c>
      <c r="N20" s="6">
        <f>400000-L20-H20-F20-D20-Table3[[#This Row],[Column4]]</f>
        <v>334000</v>
      </c>
    </row>
    <row r="21" spans="1:14" x14ac:dyDescent="0.45">
      <c r="A21" s="10">
        <f t="shared" si="4"/>
        <v>20</v>
      </c>
      <c r="B21" s="5" t="s">
        <v>87</v>
      </c>
      <c r="C21" s="5" t="s">
        <v>24</v>
      </c>
      <c r="D21" s="5">
        <f t="shared" si="5"/>
        <v>20000</v>
      </c>
      <c r="E21" s="5">
        <v>1</v>
      </c>
      <c r="F21" s="5">
        <f t="shared" si="0"/>
        <v>30000</v>
      </c>
      <c r="G21" s="5">
        <v>1</v>
      </c>
      <c r="H21" s="5">
        <f t="shared" si="1"/>
        <v>60000</v>
      </c>
      <c r="I21" s="5">
        <v>2</v>
      </c>
      <c r="J21" s="5">
        <f t="shared" si="2"/>
        <v>171000</v>
      </c>
      <c r="K21" s="5">
        <v>57</v>
      </c>
      <c r="L21" s="5">
        <f t="shared" si="3"/>
        <v>0</v>
      </c>
      <c r="M21" s="5">
        <v>0</v>
      </c>
      <c r="N21" s="6">
        <f>400000-L21-H21-F21-D21-Table3[[#This Row],[Column4]]</f>
        <v>119000</v>
      </c>
    </row>
    <row r="22" spans="1:14" x14ac:dyDescent="0.45">
      <c r="A22" s="10">
        <f t="shared" si="4"/>
        <v>21</v>
      </c>
      <c r="B22" s="5" t="s">
        <v>88</v>
      </c>
      <c r="C22" s="5" t="s">
        <v>24</v>
      </c>
      <c r="D22" s="5">
        <f t="shared" si="5"/>
        <v>60000</v>
      </c>
      <c r="E22" s="5">
        <v>3</v>
      </c>
      <c r="F22" s="5">
        <f t="shared" si="0"/>
        <v>60000</v>
      </c>
      <c r="G22" s="5">
        <v>2</v>
      </c>
      <c r="H22" s="5">
        <f t="shared" si="1"/>
        <v>30000</v>
      </c>
      <c r="I22" s="5">
        <v>1</v>
      </c>
      <c r="J22" s="5">
        <f t="shared" si="2"/>
        <v>102000</v>
      </c>
      <c r="K22" s="5">
        <v>34</v>
      </c>
      <c r="L22" s="5">
        <f t="shared" si="3"/>
        <v>30000</v>
      </c>
      <c r="M22" s="5">
        <v>2</v>
      </c>
      <c r="N22" s="6">
        <f>400000-L22-H22-F22-D22-Table3[[#This Row],[Column4]]</f>
        <v>118000</v>
      </c>
    </row>
    <row r="23" spans="1:14" x14ac:dyDescent="0.45">
      <c r="A23" s="10">
        <f t="shared" si="4"/>
        <v>22</v>
      </c>
      <c r="B23" s="5" t="s">
        <v>89</v>
      </c>
      <c r="C23" s="5" t="s">
        <v>24</v>
      </c>
      <c r="D23" s="5">
        <f t="shared" si="5"/>
        <v>20000</v>
      </c>
      <c r="E23" s="5">
        <v>1</v>
      </c>
      <c r="F23" s="5">
        <f t="shared" si="0"/>
        <v>0</v>
      </c>
      <c r="G23" s="5">
        <v>0</v>
      </c>
      <c r="H23" s="5">
        <f t="shared" si="1"/>
        <v>0</v>
      </c>
      <c r="I23" s="5">
        <v>0</v>
      </c>
      <c r="J23" s="5">
        <f t="shared" si="2"/>
        <v>267000</v>
      </c>
      <c r="K23" s="5">
        <v>89</v>
      </c>
      <c r="L23" s="5">
        <f t="shared" si="3"/>
        <v>0</v>
      </c>
      <c r="M23" s="5">
        <v>0</v>
      </c>
      <c r="N23" s="6">
        <f>400000-L23-H23-F23-D23-Table3[[#This Row],[Column4]]</f>
        <v>113000</v>
      </c>
    </row>
    <row r="24" spans="1:14" x14ac:dyDescent="0.45">
      <c r="A24" s="10">
        <f t="shared" si="4"/>
        <v>23</v>
      </c>
      <c r="B24" s="5" t="s">
        <v>90</v>
      </c>
      <c r="C24" s="5" t="s">
        <v>24</v>
      </c>
      <c r="D24" s="5">
        <f t="shared" si="5"/>
        <v>20000</v>
      </c>
      <c r="E24" s="5">
        <v>1</v>
      </c>
      <c r="F24" s="5">
        <f t="shared" si="0"/>
        <v>30000</v>
      </c>
      <c r="G24" s="5">
        <v>1</v>
      </c>
      <c r="H24" s="5">
        <f t="shared" si="1"/>
        <v>30000</v>
      </c>
      <c r="I24" s="5">
        <v>1</v>
      </c>
      <c r="J24" s="5">
        <f t="shared" si="2"/>
        <v>108000</v>
      </c>
      <c r="K24" s="5">
        <v>36</v>
      </c>
      <c r="L24" s="5">
        <f t="shared" si="3"/>
        <v>60000</v>
      </c>
      <c r="M24" s="5">
        <v>4</v>
      </c>
      <c r="N24" s="6">
        <f>400000-L24-H24-F24-D24-Table3[[#This Row],[Column4]]</f>
        <v>152000</v>
      </c>
    </row>
    <row r="25" spans="1:14" x14ac:dyDescent="0.45">
      <c r="A25" s="10">
        <f t="shared" si="4"/>
        <v>24</v>
      </c>
      <c r="B25" s="5" t="s">
        <v>91</v>
      </c>
      <c r="C25" s="5" t="s">
        <v>24</v>
      </c>
      <c r="D25" s="5">
        <f t="shared" si="5"/>
        <v>60000</v>
      </c>
      <c r="E25" s="5">
        <v>3</v>
      </c>
      <c r="F25" s="5">
        <f t="shared" si="0"/>
        <v>60000</v>
      </c>
      <c r="G25" s="5">
        <v>2</v>
      </c>
      <c r="H25" s="5">
        <f t="shared" si="1"/>
        <v>60000</v>
      </c>
      <c r="I25" s="5">
        <v>2</v>
      </c>
      <c r="J25" s="5">
        <f t="shared" si="2"/>
        <v>54000</v>
      </c>
      <c r="K25" s="5">
        <v>18</v>
      </c>
      <c r="L25" s="5">
        <f t="shared" si="3"/>
        <v>15000</v>
      </c>
      <c r="M25" s="5">
        <v>1</v>
      </c>
      <c r="N25" s="6">
        <f>400000-L25-H25-F25-D25-Table3[[#This Row],[Column4]]</f>
        <v>151000</v>
      </c>
    </row>
    <row r="26" spans="1:14" x14ac:dyDescent="0.45">
      <c r="A26" s="10">
        <f t="shared" si="4"/>
        <v>25</v>
      </c>
      <c r="B26" s="5" t="s">
        <v>92</v>
      </c>
      <c r="C26" s="5" t="s">
        <v>24</v>
      </c>
      <c r="D26" s="5">
        <f t="shared" si="5"/>
        <v>20000</v>
      </c>
      <c r="E26" s="5">
        <v>1</v>
      </c>
      <c r="F26" s="5">
        <f t="shared" si="0"/>
        <v>30000</v>
      </c>
      <c r="G26" s="5">
        <v>1</v>
      </c>
      <c r="H26" s="5">
        <f t="shared" si="1"/>
        <v>0</v>
      </c>
      <c r="I26" s="5">
        <v>0</v>
      </c>
      <c r="J26" s="5">
        <f t="shared" si="2"/>
        <v>57000</v>
      </c>
      <c r="K26" s="5">
        <v>19</v>
      </c>
      <c r="L26" s="5">
        <f t="shared" si="3"/>
        <v>15000</v>
      </c>
      <c r="M26" s="5">
        <v>1</v>
      </c>
      <c r="N26" s="6">
        <f>400000-L26-H26-F26-D26-Table3[[#This Row],[Column4]]</f>
        <v>278000</v>
      </c>
    </row>
    <row r="27" spans="1:14" x14ac:dyDescent="0.45">
      <c r="A27" s="10">
        <f t="shared" si="4"/>
        <v>26</v>
      </c>
      <c r="B27" s="5" t="s">
        <v>93</v>
      </c>
      <c r="C27" s="5" t="s">
        <v>24</v>
      </c>
      <c r="D27" s="5">
        <f t="shared" si="5"/>
        <v>20000</v>
      </c>
      <c r="E27" s="5">
        <v>1</v>
      </c>
      <c r="F27" s="5">
        <f t="shared" si="0"/>
        <v>0</v>
      </c>
      <c r="G27" s="5">
        <v>0</v>
      </c>
      <c r="H27" s="5">
        <f t="shared" si="1"/>
        <v>0</v>
      </c>
      <c r="I27" s="5">
        <v>0</v>
      </c>
      <c r="J27" s="5">
        <f t="shared" si="2"/>
        <v>48000</v>
      </c>
      <c r="K27" s="5">
        <v>16</v>
      </c>
      <c r="L27" s="5">
        <f t="shared" si="3"/>
        <v>0</v>
      </c>
      <c r="M27" s="5">
        <v>0</v>
      </c>
      <c r="N27" s="6">
        <f>400000-L27-H27-F27-D27-Table3[[#This Row],[Column4]]</f>
        <v>332000</v>
      </c>
    </row>
    <row r="28" spans="1:14" x14ac:dyDescent="0.45">
      <c r="A28" s="10">
        <f t="shared" si="4"/>
        <v>27</v>
      </c>
      <c r="B28" s="5" t="s">
        <v>94</v>
      </c>
      <c r="C28" s="5" t="s">
        <v>24</v>
      </c>
      <c r="D28" s="5">
        <f t="shared" si="5"/>
        <v>20000</v>
      </c>
      <c r="E28" s="5">
        <v>1</v>
      </c>
      <c r="F28" s="5">
        <f t="shared" si="0"/>
        <v>0</v>
      </c>
      <c r="G28" s="5">
        <v>0</v>
      </c>
      <c r="H28" s="5">
        <f t="shared" si="1"/>
        <v>0</v>
      </c>
      <c r="I28" s="5">
        <v>0</v>
      </c>
      <c r="J28" s="5">
        <f t="shared" si="2"/>
        <v>66000</v>
      </c>
      <c r="K28" s="5">
        <v>22</v>
      </c>
      <c r="L28" s="5">
        <f t="shared" si="3"/>
        <v>0</v>
      </c>
      <c r="M28" s="5">
        <v>0</v>
      </c>
      <c r="N28" s="6">
        <f>400000-L28-H28-F28-D28-Table3[[#This Row],[Column4]]</f>
        <v>314000</v>
      </c>
    </row>
    <row r="29" spans="1:14" x14ac:dyDescent="0.45">
      <c r="A29" s="10">
        <f t="shared" si="4"/>
        <v>28</v>
      </c>
      <c r="B29" s="5" t="s">
        <v>95</v>
      </c>
      <c r="C29" s="5" t="s">
        <v>24</v>
      </c>
      <c r="D29" s="5">
        <f t="shared" si="5"/>
        <v>60000</v>
      </c>
      <c r="E29" s="5">
        <v>3</v>
      </c>
      <c r="F29" s="5">
        <f t="shared" si="0"/>
        <v>30000</v>
      </c>
      <c r="G29" s="5">
        <v>1</v>
      </c>
      <c r="H29" s="5">
        <f t="shared" si="1"/>
        <v>0</v>
      </c>
      <c r="I29" s="5">
        <v>0</v>
      </c>
      <c r="J29" s="5">
        <f t="shared" si="2"/>
        <v>105000</v>
      </c>
      <c r="K29" s="5">
        <v>35</v>
      </c>
      <c r="L29" s="5">
        <f t="shared" si="3"/>
        <v>0</v>
      </c>
      <c r="M29" s="5">
        <v>0</v>
      </c>
      <c r="N29" s="6">
        <f>400000-L29-H29-F29-D29-Table3[[#This Row],[Column4]]</f>
        <v>205000</v>
      </c>
    </row>
    <row r="30" spans="1:14" x14ac:dyDescent="0.45">
      <c r="A30" s="10">
        <f t="shared" si="4"/>
        <v>29</v>
      </c>
      <c r="B30" s="5" t="s">
        <v>96</v>
      </c>
      <c r="C30" s="5" t="s">
        <v>24</v>
      </c>
      <c r="D30" s="5">
        <f t="shared" si="5"/>
        <v>20000</v>
      </c>
      <c r="E30" s="5">
        <v>1</v>
      </c>
      <c r="F30" s="5">
        <f t="shared" si="0"/>
        <v>30000</v>
      </c>
      <c r="G30" s="5">
        <v>1</v>
      </c>
      <c r="H30" s="5">
        <f t="shared" si="1"/>
        <v>30000</v>
      </c>
      <c r="I30" s="5">
        <v>1</v>
      </c>
      <c r="J30" s="5">
        <f t="shared" si="2"/>
        <v>78000</v>
      </c>
      <c r="K30" s="5">
        <v>26</v>
      </c>
      <c r="L30" s="5">
        <f t="shared" si="3"/>
        <v>0</v>
      </c>
      <c r="M30" s="5">
        <v>0</v>
      </c>
      <c r="N30" s="6">
        <f>400000-L30-H30-F30-D30-Table3[[#This Row],[Column4]]</f>
        <v>242000</v>
      </c>
    </row>
    <row r="31" spans="1:14" x14ac:dyDescent="0.45">
      <c r="A31" s="10">
        <f t="shared" si="4"/>
        <v>30</v>
      </c>
      <c r="B31" s="5" t="s">
        <v>97</v>
      </c>
      <c r="C31" s="5" t="s">
        <v>24</v>
      </c>
      <c r="D31" s="5">
        <f t="shared" si="5"/>
        <v>40000</v>
      </c>
      <c r="E31" s="5">
        <v>2</v>
      </c>
      <c r="F31" s="5">
        <f t="shared" si="0"/>
        <v>30000</v>
      </c>
      <c r="G31" s="5">
        <v>1</v>
      </c>
      <c r="H31" s="5">
        <f t="shared" si="1"/>
        <v>30000</v>
      </c>
      <c r="I31" s="5">
        <v>1</v>
      </c>
      <c r="J31" s="5">
        <f t="shared" si="2"/>
        <v>150000</v>
      </c>
      <c r="K31" s="5">
        <v>50</v>
      </c>
      <c r="L31" s="5">
        <f t="shared" si="3"/>
        <v>15000</v>
      </c>
      <c r="M31" s="5">
        <v>1</v>
      </c>
      <c r="N31" s="6">
        <f>400000-L31-H31-F31-D31-Table3[[#This Row],[Column4]]</f>
        <v>135000</v>
      </c>
    </row>
    <row r="32" spans="1:14" x14ac:dyDescent="0.45">
      <c r="A32" s="10">
        <f t="shared" si="4"/>
        <v>31</v>
      </c>
      <c r="B32" s="5" t="s">
        <v>98</v>
      </c>
      <c r="C32" s="5" t="s">
        <v>24</v>
      </c>
      <c r="D32" s="5">
        <f t="shared" si="5"/>
        <v>60000</v>
      </c>
      <c r="E32" s="5">
        <v>3</v>
      </c>
      <c r="F32" s="5">
        <f t="shared" si="0"/>
        <v>30000</v>
      </c>
      <c r="G32" s="5">
        <v>1</v>
      </c>
      <c r="H32" s="5">
        <f t="shared" si="1"/>
        <v>0</v>
      </c>
      <c r="I32" s="5">
        <v>0</v>
      </c>
      <c r="J32" s="5">
        <f t="shared" si="2"/>
        <v>144000</v>
      </c>
      <c r="K32" s="5">
        <v>48</v>
      </c>
      <c r="L32" s="5">
        <f t="shared" si="3"/>
        <v>15000</v>
      </c>
      <c r="M32" s="5">
        <v>1</v>
      </c>
      <c r="N32" s="6">
        <f>400000-L32-H32-F32-D32-Table3[[#This Row],[Column4]]</f>
        <v>151000</v>
      </c>
    </row>
    <row r="33" spans="1:14" x14ac:dyDescent="0.45">
      <c r="A33" s="10">
        <f t="shared" si="4"/>
        <v>32</v>
      </c>
      <c r="B33" s="5" t="s">
        <v>99</v>
      </c>
      <c r="C33" s="5" t="s">
        <v>24</v>
      </c>
      <c r="D33" s="5">
        <f t="shared" si="5"/>
        <v>60000</v>
      </c>
      <c r="E33" s="5">
        <v>3</v>
      </c>
      <c r="F33" s="5">
        <f t="shared" si="0"/>
        <v>60000</v>
      </c>
      <c r="G33" s="5">
        <v>2</v>
      </c>
      <c r="H33" s="5">
        <f t="shared" si="1"/>
        <v>30000</v>
      </c>
      <c r="I33" s="5">
        <v>1</v>
      </c>
      <c r="J33" s="5">
        <f t="shared" si="2"/>
        <v>120000</v>
      </c>
      <c r="K33" s="5">
        <v>40</v>
      </c>
      <c r="L33" s="5">
        <f t="shared" si="3"/>
        <v>0</v>
      </c>
      <c r="M33" s="5">
        <v>0</v>
      </c>
      <c r="N33" s="6">
        <f>400000-L33-H33-F33-D33-Table3[[#This Row],[Column4]]</f>
        <v>130000</v>
      </c>
    </row>
    <row r="34" spans="1:14" x14ac:dyDescent="0.45">
      <c r="A34" s="10">
        <f t="shared" si="4"/>
        <v>33</v>
      </c>
      <c r="B34" s="5" t="s">
        <v>100</v>
      </c>
      <c r="C34" s="5" t="s">
        <v>24</v>
      </c>
      <c r="D34" s="5">
        <f t="shared" si="5"/>
        <v>40000</v>
      </c>
      <c r="E34" s="5">
        <v>2</v>
      </c>
      <c r="F34" s="5">
        <f t="shared" si="0"/>
        <v>30000</v>
      </c>
      <c r="G34" s="5">
        <v>1</v>
      </c>
      <c r="H34" s="5">
        <f t="shared" si="1"/>
        <v>0</v>
      </c>
      <c r="I34" s="5">
        <v>0</v>
      </c>
      <c r="J34" s="5">
        <f t="shared" si="2"/>
        <v>78000</v>
      </c>
      <c r="K34" s="5">
        <v>26</v>
      </c>
      <c r="L34" s="5">
        <f t="shared" si="3"/>
        <v>15000</v>
      </c>
      <c r="M34" s="5">
        <v>1</v>
      </c>
      <c r="N34" s="6">
        <f>400000-L34-H34-F34-D34-Table3[[#This Row],[Column4]]</f>
        <v>237000</v>
      </c>
    </row>
    <row r="35" spans="1:14" x14ac:dyDescent="0.45">
      <c r="A35" s="10">
        <f t="shared" si="4"/>
        <v>34</v>
      </c>
      <c r="B35" s="5" t="s">
        <v>101</v>
      </c>
      <c r="C35" s="5" t="s">
        <v>24</v>
      </c>
      <c r="D35" s="5">
        <f t="shared" si="5"/>
        <v>60000</v>
      </c>
      <c r="E35" s="5">
        <v>3</v>
      </c>
      <c r="F35" s="5">
        <f t="shared" si="0"/>
        <v>30000</v>
      </c>
      <c r="G35" s="5">
        <v>1</v>
      </c>
      <c r="H35" s="5">
        <f t="shared" si="1"/>
        <v>30000</v>
      </c>
      <c r="I35" s="5">
        <v>1</v>
      </c>
      <c r="J35" s="5">
        <f t="shared" si="2"/>
        <v>117000</v>
      </c>
      <c r="K35" s="5">
        <v>39</v>
      </c>
      <c r="L35" s="5">
        <f t="shared" si="3"/>
        <v>15000</v>
      </c>
      <c r="M35" s="5">
        <v>1</v>
      </c>
      <c r="N35" s="6">
        <f>400000-L35-H35-F35-D35-Table3[[#This Row],[Column4]]</f>
        <v>148000</v>
      </c>
    </row>
    <row r="36" spans="1:14" x14ac:dyDescent="0.45">
      <c r="A36" s="10">
        <f t="shared" si="4"/>
        <v>35</v>
      </c>
      <c r="B36" s="5" t="s">
        <v>102</v>
      </c>
      <c r="C36" s="5" t="s">
        <v>24</v>
      </c>
      <c r="D36" s="5">
        <f t="shared" si="5"/>
        <v>20000</v>
      </c>
      <c r="E36" s="5">
        <v>1</v>
      </c>
      <c r="F36" s="5">
        <f t="shared" si="0"/>
        <v>0</v>
      </c>
      <c r="G36" s="5">
        <v>0</v>
      </c>
      <c r="H36" s="5">
        <f t="shared" si="1"/>
        <v>0</v>
      </c>
      <c r="I36" s="5">
        <v>0</v>
      </c>
      <c r="J36" s="5">
        <f t="shared" si="2"/>
        <v>30000</v>
      </c>
      <c r="K36" s="5">
        <v>10</v>
      </c>
      <c r="L36" s="5">
        <f t="shared" si="3"/>
        <v>0</v>
      </c>
      <c r="M36" s="5">
        <v>0</v>
      </c>
      <c r="N36" s="6">
        <f>400000-L36-H36-F36-D36-Table3[[#This Row],[Column4]]</f>
        <v>350000</v>
      </c>
    </row>
    <row r="37" spans="1:14" x14ac:dyDescent="0.45">
      <c r="A37" s="10">
        <f t="shared" si="4"/>
        <v>36</v>
      </c>
      <c r="B37" s="5" t="s">
        <v>103</v>
      </c>
      <c r="C37" s="5" t="s">
        <v>24</v>
      </c>
      <c r="D37" s="5">
        <f t="shared" si="5"/>
        <v>20000</v>
      </c>
      <c r="E37" s="5">
        <v>1</v>
      </c>
      <c r="F37" s="5">
        <f t="shared" si="0"/>
        <v>30000</v>
      </c>
      <c r="G37" s="5">
        <v>1</v>
      </c>
      <c r="H37" s="5">
        <f t="shared" si="1"/>
        <v>60000</v>
      </c>
      <c r="I37" s="5">
        <v>2</v>
      </c>
      <c r="J37" s="5">
        <f t="shared" si="2"/>
        <v>240000</v>
      </c>
      <c r="K37" s="5">
        <v>80</v>
      </c>
      <c r="L37" s="5">
        <f t="shared" si="3"/>
        <v>15000</v>
      </c>
      <c r="M37" s="5">
        <v>1</v>
      </c>
      <c r="N37" s="6">
        <f>400000-L37-H37-F37-D37-Table3[[#This Row],[Column4]]</f>
        <v>35000</v>
      </c>
    </row>
    <row r="38" spans="1:14" x14ac:dyDescent="0.45">
      <c r="A38" s="10">
        <f t="shared" si="4"/>
        <v>37</v>
      </c>
      <c r="B38" s="5" t="s">
        <v>104</v>
      </c>
      <c r="C38" s="5" t="s">
        <v>24</v>
      </c>
      <c r="D38" s="5">
        <f t="shared" si="5"/>
        <v>40000</v>
      </c>
      <c r="E38" s="5">
        <v>2</v>
      </c>
      <c r="F38" s="5">
        <f t="shared" si="0"/>
        <v>60000</v>
      </c>
      <c r="G38" s="5">
        <v>2</v>
      </c>
      <c r="H38" s="5">
        <f t="shared" si="1"/>
        <v>30000</v>
      </c>
      <c r="I38" s="5">
        <v>1</v>
      </c>
      <c r="J38" s="5">
        <f t="shared" si="2"/>
        <v>144000</v>
      </c>
      <c r="K38" s="5">
        <v>48</v>
      </c>
      <c r="L38" s="5">
        <f t="shared" si="3"/>
        <v>0</v>
      </c>
      <c r="M38" s="5">
        <v>0</v>
      </c>
      <c r="N38" s="6">
        <f>400000-L38-H38-F38-D38-Table3[[#This Row],[Column4]]</f>
        <v>126000</v>
      </c>
    </row>
    <row r="39" spans="1:14" x14ac:dyDescent="0.45">
      <c r="A39" s="10">
        <f t="shared" si="4"/>
        <v>38</v>
      </c>
      <c r="B39" s="5" t="s">
        <v>105</v>
      </c>
      <c r="C39" s="5" t="s">
        <v>24</v>
      </c>
      <c r="D39" s="5">
        <f t="shared" si="5"/>
        <v>20000</v>
      </c>
      <c r="E39" s="5">
        <v>1</v>
      </c>
      <c r="F39" s="5">
        <f t="shared" si="0"/>
        <v>0</v>
      </c>
      <c r="G39" s="5">
        <v>0</v>
      </c>
      <c r="H39" s="5">
        <f t="shared" si="1"/>
        <v>30000</v>
      </c>
      <c r="I39" s="5">
        <v>1</v>
      </c>
      <c r="J39" s="5">
        <f t="shared" si="2"/>
        <v>42000</v>
      </c>
      <c r="K39" s="5">
        <v>14</v>
      </c>
      <c r="L39" s="5">
        <f t="shared" si="3"/>
        <v>0</v>
      </c>
      <c r="M39" s="5">
        <v>0</v>
      </c>
      <c r="N39" s="6">
        <f>400000-L39-H39-F39-D39-Table3[[#This Row],[Column4]]</f>
        <v>308000</v>
      </c>
    </row>
    <row r="40" spans="1:14" x14ac:dyDescent="0.45">
      <c r="A40" s="10">
        <f t="shared" si="4"/>
        <v>39</v>
      </c>
      <c r="B40" s="5" t="s">
        <v>106</v>
      </c>
      <c r="C40" s="5" t="s">
        <v>24</v>
      </c>
      <c r="D40" s="5">
        <f t="shared" si="5"/>
        <v>40000</v>
      </c>
      <c r="E40" s="5">
        <v>2</v>
      </c>
      <c r="F40" s="5">
        <f t="shared" si="0"/>
        <v>90000</v>
      </c>
      <c r="G40" s="5">
        <v>3</v>
      </c>
      <c r="H40" s="5">
        <f t="shared" si="1"/>
        <v>0</v>
      </c>
      <c r="I40" s="5">
        <v>0</v>
      </c>
      <c r="J40" s="5">
        <f t="shared" si="2"/>
        <v>0</v>
      </c>
      <c r="K40" s="5">
        <v>0</v>
      </c>
      <c r="L40" s="5">
        <f t="shared" si="3"/>
        <v>75000</v>
      </c>
      <c r="M40" s="5">
        <v>5</v>
      </c>
      <c r="N40" s="6">
        <f>400000-L40-H40-F40-D40-Table3[[#This Row],[Column4]]</f>
        <v>195000</v>
      </c>
    </row>
    <row r="41" spans="1:14" x14ac:dyDescent="0.45">
      <c r="A41" s="10">
        <f t="shared" si="4"/>
        <v>40</v>
      </c>
      <c r="B41" s="5" t="s">
        <v>107</v>
      </c>
      <c r="C41" s="5" t="s">
        <v>24</v>
      </c>
      <c r="D41" s="5">
        <f t="shared" si="5"/>
        <v>40000</v>
      </c>
      <c r="E41" s="5">
        <v>2</v>
      </c>
      <c r="F41" s="5">
        <f t="shared" si="0"/>
        <v>60000</v>
      </c>
      <c r="G41" s="5">
        <v>2</v>
      </c>
      <c r="H41" s="5">
        <f t="shared" si="1"/>
        <v>90000</v>
      </c>
      <c r="I41" s="5">
        <v>3</v>
      </c>
      <c r="J41" s="5">
        <f t="shared" si="2"/>
        <v>306000</v>
      </c>
      <c r="K41" s="5">
        <v>102</v>
      </c>
      <c r="L41" s="5">
        <f t="shared" si="3"/>
        <v>60000</v>
      </c>
      <c r="M41" s="5">
        <v>4</v>
      </c>
      <c r="N41" s="6">
        <f>400000-L41-H41-F41-D41-Table3[[#This Row],[Column4]]</f>
        <v>-156000</v>
      </c>
    </row>
    <row r="42" spans="1:14" x14ac:dyDescent="0.45">
      <c r="A42" s="10">
        <f t="shared" si="4"/>
        <v>41</v>
      </c>
      <c r="B42" s="5" t="s">
        <v>108</v>
      </c>
      <c r="C42" s="5" t="s">
        <v>24</v>
      </c>
      <c r="D42" s="5">
        <f t="shared" si="5"/>
        <v>60000</v>
      </c>
      <c r="E42" s="5">
        <v>3</v>
      </c>
      <c r="F42" s="5">
        <f t="shared" si="0"/>
        <v>60000</v>
      </c>
      <c r="G42" s="5">
        <v>2</v>
      </c>
      <c r="H42" s="5">
        <f t="shared" si="1"/>
        <v>60000</v>
      </c>
      <c r="I42" s="5">
        <v>2</v>
      </c>
      <c r="J42" s="5">
        <f t="shared" si="2"/>
        <v>357000</v>
      </c>
      <c r="K42" s="5">
        <v>119</v>
      </c>
      <c r="L42" s="5">
        <f t="shared" si="3"/>
        <v>0</v>
      </c>
      <c r="M42" s="5">
        <v>0</v>
      </c>
      <c r="N42" s="6">
        <f>400000-L42-H42-F42-D42-Table3[[#This Row],[Column4]]</f>
        <v>-137000</v>
      </c>
    </row>
    <row r="43" spans="1:14" x14ac:dyDescent="0.45">
      <c r="A43" s="10">
        <f t="shared" si="4"/>
        <v>42</v>
      </c>
      <c r="B43" s="5" t="s">
        <v>109</v>
      </c>
      <c r="C43" s="5" t="s">
        <v>24</v>
      </c>
      <c r="D43" s="5">
        <f t="shared" si="5"/>
        <v>540000</v>
      </c>
      <c r="E43" s="5">
        <v>27</v>
      </c>
      <c r="F43" s="5">
        <f t="shared" si="0"/>
        <v>390000</v>
      </c>
      <c r="G43" s="5">
        <v>13</v>
      </c>
      <c r="H43" s="5">
        <f t="shared" si="1"/>
        <v>60000</v>
      </c>
      <c r="I43" s="5">
        <v>2</v>
      </c>
      <c r="J43" s="5">
        <f t="shared" si="2"/>
        <v>300000</v>
      </c>
      <c r="K43" s="5">
        <v>100</v>
      </c>
      <c r="L43" s="5">
        <f t="shared" si="3"/>
        <v>135000</v>
      </c>
      <c r="M43" s="5">
        <v>9</v>
      </c>
      <c r="N43" s="6">
        <f>400000-L43-H43-F43-D43-Table3[[#This Row],[Column4]]</f>
        <v>-1025000</v>
      </c>
    </row>
    <row r="44" spans="1:14" x14ac:dyDescent="0.45">
      <c r="A44" s="10">
        <f t="shared" si="4"/>
        <v>43</v>
      </c>
      <c r="B44" s="5" t="s">
        <v>110</v>
      </c>
      <c r="C44" s="5" t="s">
        <v>24</v>
      </c>
      <c r="D44" s="5">
        <f t="shared" si="5"/>
        <v>0</v>
      </c>
      <c r="E44" s="5">
        <v>0</v>
      </c>
      <c r="F44" s="5">
        <f t="shared" si="0"/>
        <v>60000</v>
      </c>
      <c r="G44" s="5">
        <v>2</v>
      </c>
      <c r="H44" s="5">
        <f t="shared" si="1"/>
        <v>30000</v>
      </c>
      <c r="I44" s="5">
        <v>1</v>
      </c>
      <c r="J44" s="5">
        <f t="shared" si="2"/>
        <v>480000</v>
      </c>
      <c r="K44" s="5">
        <v>160</v>
      </c>
      <c r="L44" s="5">
        <f t="shared" si="3"/>
        <v>45000</v>
      </c>
      <c r="M44" s="5">
        <v>3</v>
      </c>
      <c r="N44" s="6">
        <f>400000-L44-H44-F44-D44-Table3[[#This Row],[Column4]]</f>
        <v>-215000</v>
      </c>
    </row>
    <row r="45" spans="1:14" x14ac:dyDescent="0.45">
      <c r="A45" s="10">
        <f t="shared" si="4"/>
        <v>44</v>
      </c>
      <c r="B45" s="5" t="s">
        <v>111</v>
      </c>
      <c r="C45" s="5" t="s">
        <v>24</v>
      </c>
      <c r="D45" s="5">
        <f t="shared" si="5"/>
        <v>0</v>
      </c>
      <c r="E45" s="5">
        <v>0</v>
      </c>
      <c r="F45" s="5">
        <f t="shared" si="0"/>
        <v>0</v>
      </c>
      <c r="G45" s="5">
        <v>0</v>
      </c>
      <c r="H45" s="5">
        <f t="shared" si="1"/>
        <v>30000</v>
      </c>
      <c r="I45" s="5">
        <v>1</v>
      </c>
      <c r="J45" s="5">
        <f t="shared" si="2"/>
        <v>471000</v>
      </c>
      <c r="K45" s="5">
        <v>157</v>
      </c>
      <c r="L45" s="5">
        <f t="shared" si="3"/>
        <v>45000</v>
      </c>
      <c r="M45" s="5">
        <v>3</v>
      </c>
      <c r="N45" s="6">
        <f>400000-L45-H45-F45-D45-Table3[[#This Row],[Column4]]</f>
        <v>-146000</v>
      </c>
    </row>
    <row r="46" spans="1:14" x14ac:dyDescent="0.45">
      <c r="A46" s="10">
        <f t="shared" si="4"/>
        <v>45</v>
      </c>
      <c r="B46" s="5" t="s">
        <v>112</v>
      </c>
      <c r="C46" s="5" t="s">
        <v>24</v>
      </c>
      <c r="D46" s="5">
        <f t="shared" si="5"/>
        <v>40000</v>
      </c>
      <c r="E46" s="5">
        <v>2</v>
      </c>
      <c r="F46" s="5">
        <f t="shared" si="0"/>
        <v>60000</v>
      </c>
      <c r="G46" s="5">
        <v>2</v>
      </c>
      <c r="H46" s="5">
        <f t="shared" si="1"/>
        <v>30000</v>
      </c>
      <c r="I46" s="5">
        <v>1</v>
      </c>
      <c r="J46" s="5">
        <f t="shared" si="2"/>
        <v>168000</v>
      </c>
      <c r="K46" s="5">
        <v>56</v>
      </c>
      <c r="L46" s="5">
        <f t="shared" si="3"/>
        <v>45000</v>
      </c>
      <c r="M46" s="5">
        <v>3</v>
      </c>
      <c r="N46" s="6">
        <f>400000-L46-H46-F46-D46-Table3[[#This Row],[Column4]]</f>
        <v>57000</v>
      </c>
    </row>
    <row r="47" spans="1:14" x14ac:dyDescent="0.45">
      <c r="A47" s="10">
        <f t="shared" si="4"/>
        <v>46</v>
      </c>
      <c r="B47" s="5" t="s">
        <v>113</v>
      </c>
      <c r="C47" s="5" t="s">
        <v>24</v>
      </c>
      <c r="D47" s="5">
        <f t="shared" si="5"/>
        <v>40000</v>
      </c>
      <c r="E47" s="5">
        <v>2</v>
      </c>
      <c r="F47" s="5">
        <f t="shared" si="0"/>
        <v>90000</v>
      </c>
      <c r="G47" s="5">
        <v>3</v>
      </c>
      <c r="H47" s="5">
        <f t="shared" si="1"/>
        <v>60000</v>
      </c>
      <c r="I47" s="5">
        <v>2</v>
      </c>
      <c r="J47" s="5">
        <f t="shared" si="2"/>
        <v>339000</v>
      </c>
      <c r="K47" s="5">
        <v>113</v>
      </c>
      <c r="L47" s="5">
        <f t="shared" si="3"/>
        <v>0</v>
      </c>
      <c r="M47" s="5">
        <v>0</v>
      </c>
      <c r="N47" s="6">
        <f>400000-L47-H47-F47-D47-Table3[[#This Row],[Column4]]</f>
        <v>-129000</v>
      </c>
    </row>
    <row r="48" spans="1:14" x14ac:dyDescent="0.45">
      <c r="A48" s="10">
        <f t="shared" si="4"/>
        <v>47</v>
      </c>
      <c r="B48" s="5" t="s">
        <v>114</v>
      </c>
      <c r="C48" s="5" t="s">
        <v>24</v>
      </c>
      <c r="D48" s="5">
        <f t="shared" si="5"/>
        <v>0</v>
      </c>
      <c r="E48" s="5">
        <v>0</v>
      </c>
      <c r="F48" s="5">
        <f t="shared" si="0"/>
        <v>0</v>
      </c>
      <c r="G48" s="5">
        <v>0</v>
      </c>
      <c r="H48" s="5">
        <f t="shared" si="1"/>
        <v>0</v>
      </c>
      <c r="I48" s="5">
        <v>0</v>
      </c>
      <c r="J48" s="5">
        <f t="shared" si="2"/>
        <v>24000</v>
      </c>
      <c r="K48" s="5">
        <v>8</v>
      </c>
      <c r="L48" s="5">
        <f t="shared" si="3"/>
        <v>0</v>
      </c>
      <c r="M48" s="5">
        <v>0</v>
      </c>
      <c r="N48" s="6">
        <f>400000-L48-H48-F48-D48-Table3[[#This Row],[Column4]]</f>
        <v>376000</v>
      </c>
    </row>
    <row r="49" spans="1:14" x14ac:dyDescent="0.45">
      <c r="A49" s="10">
        <f t="shared" si="4"/>
        <v>48</v>
      </c>
      <c r="B49" s="5" t="s">
        <v>115</v>
      </c>
      <c r="C49" s="5" t="s">
        <v>24</v>
      </c>
      <c r="D49" s="5">
        <f t="shared" si="5"/>
        <v>20000</v>
      </c>
      <c r="E49" s="5">
        <v>1</v>
      </c>
      <c r="F49" s="5">
        <f t="shared" si="0"/>
        <v>0</v>
      </c>
      <c r="G49" s="5">
        <v>0</v>
      </c>
      <c r="H49" s="5">
        <f t="shared" si="1"/>
        <v>30000</v>
      </c>
      <c r="I49" s="5">
        <v>1</v>
      </c>
      <c r="J49" s="5">
        <f t="shared" si="2"/>
        <v>297000</v>
      </c>
      <c r="K49" s="5">
        <v>99</v>
      </c>
      <c r="L49" s="5">
        <f t="shared" si="3"/>
        <v>0</v>
      </c>
      <c r="M49" s="5">
        <v>0</v>
      </c>
      <c r="N49" s="6">
        <f>400000-L49-H49-F49-D49-Table3[[#This Row],[Column4]]</f>
        <v>53000</v>
      </c>
    </row>
    <row r="50" spans="1:14" x14ac:dyDescent="0.45">
      <c r="A50" s="10">
        <f t="shared" si="4"/>
        <v>49</v>
      </c>
      <c r="B50" s="5" t="s">
        <v>116</v>
      </c>
      <c r="C50" s="5" t="s">
        <v>24</v>
      </c>
      <c r="D50" s="5">
        <f t="shared" si="5"/>
        <v>40000</v>
      </c>
      <c r="E50" s="5">
        <v>2</v>
      </c>
      <c r="F50" s="5">
        <f t="shared" si="0"/>
        <v>60000</v>
      </c>
      <c r="G50" s="5">
        <v>2</v>
      </c>
      <c r="H50" s="5">
        <f t="shared" si="1"/>
        <v>60000</v>
      </c>
      <c r="I50" s="5">
        <v>2</v>
      </c>
      <c r="J50" s="5">
        <f t="shared" si="2"/>
        <v>0</v>
      </c>
      <c r="K50" s="5">
        <v>0</v>
      </c>
      <c r="L50" s="5">
        <f t="shared" si="3"/>
        <v>30000</v>
      </c>
      <c r="M50" s="5">
        <v>2</v>
      </c>
      <c r="N50" s="6">
        <f>400000-L50-H50-F50-D50-Table3[[#This Row],[Column4]]</f>
        <v>210000</v>
      </c>
    </row>
    <row r="51" spans="1:14" x14ac:dyDescent="0.45">
      <c r="A51" s="10">
        <f t="shared" si="4"/>
        <v>50</v>
      </c>
      <c r="B51" s="5" t="s">
        <v>117</v>
      </c>
      <c r="C51" s="5" t="s">
        <v>24</v>
      </c>
      <c r="D51" s="5">
        <f t="shared" si="5"/>
        <v>40000</v>
      </c>
      <c r="E51" s="5">
        <v>2</v>
      </c>
      <c r="F51" s="5">
        <f t="shared" si="0"/>
        <v>60000</v>
      </c>
      <c r="G51" s="5">
        <v>2</v>
      </c>
      <c r="H51" s="5">
        <f t="shared" si="1"/>
        <v>30000</v>
      </c>
      <c r="I51" s="5">
        <v>1</v>
      </c>
      <c r="J51" s="5">
        <f t="shared" si="2"/>
        <v>0</v>
      </c>
      <c r="K51" s="5">
        <v>0</v>
      </c>
      <c r="L51" s="5">
        <f t="shared" si="3"/>
        <v>15000</v>
      </c>
      <c r="M51" s="5">
        <v>1</v>
      </c>
      <c r="N51" s="6">
        <f>400000-L51-H51-F51-D51-Table3[[#This Row],[Column4]]</f>
        <v>255000</v>
      </c>
    </row>
    <row r="52" spans="1:14" x14ac:dyDescent="0.45">
      <c r="A52" s="10">
        <f t="shared" si="4"/>
        <v>51</v>
      </c>
      <c r="B52" s="5" t="s">
        <v>118</v>
      </c>
      <c r="C52" s="5" t="s">
        <v>24</v>
      </c>
      <c r="D52" s="5">
        <f t="shared" si="5"/>
        <v>20000</v>
      </c>
      <c r="E52" s="5">
        <v>1</v>
      </c>
      <c r="F52" s="5">
        <f t="shared" si="0"/>
        <v>120000</v>
      </c>
      <c r="G52" s="5">
        <v>4</v>
      </c>
      <c r="H52" s="5">
        <f t="shared" si="1"/>
        <v>30000</v>
      </c>
      <c r="I52" s="5">
        <v>1</v>
      </c>
      <c r="J52" s="5">
        <f t="shared" si="2"/>
        <v>351000</v>
      </c>
      <c r="K52" s="5">
        <v>117</v>
      </c>
      <c r="L52" s="5">
        <f t="shared" si="3"/>
        <v>15000</v>
      </c>
      <c r="M52" s="5">
        <v>1</v>
      </c>
      <c r="N52" s="6">
        <f>400000-L52-H52-F52-D52-Table3[[#This Row],[Column4]]</f>
        <v>-136000</v>
      </c>
    </row>
    <row r="53" spans="1:14" x14ac:dyDescent="0.45">
      <c r="A53" s="10">
        <f t="shared" si="4"/>
        <v>52</v>
      </c>
      <c r="B53" s="5" t="s">
        <v>119</v>
      </c>
      <c r="C53" s="5" t="s">
        <v>24</v>
      </c>
      <c r="D53" s="5">
        <f t="shared" si="5"/>
        <v>0</v>
      </c>
      <c r="E53" s="5">
        <v>0</v>
      </c>
      <c r="F53" s="5">
        <f t="shared" si="0"/>
        <v>0</v>
      </c>
      <c r="G53" s="5">
        <v>0</v>
      </c>
      <c r="H53" s="5">
        <f t="shared" si="1"/>
        <v>0</v>
      </c>
      <c r="I53" s="5">
        <v>0</v>
      </c>
      <c r="J53" s="5">
        <f t="shared" si="2"/>
        <v>111000</v>
      </c>
      <c r="K53" s="5">
        <v>37</v>
      </c>
      <c r="L53" s="5">
        <f t="shared" si="3"/>
        <v>0</v>
      </c>
      <c r="M53" s="5">
        <v>0</v>
      </c>
      <c r="N53" s="6">
        <f>400000-L53-H53-F53-D53-Table3[[#This Row],[Column4]]</f>
        <v>289000</v>
      </c>
    </row>
    <row r="54" spans="1:14" x14ac:dyDescent="0.45">
      <c r="A54" s="10">
        <f t="shared" si="4"/>
        <v>53</v>
      </c>
      <c r="B54" s="5" t="s">
        <v>120</v>
      </c>
      <c r="C54" s="5" t="s">
        <v>24</v>
      </c>
      <c r="D54" s="5">
        <f t="shared" si="5"/>
        <v>200000</v>
      </c>
      <c r="E54" s="5">
        <v>10</v>
      </c>
      <c r="F54" s="5">
        <f t="shared" si="0"/>
        <v>120000</v>
      </c>
      <c r="G54" s="5">
        <v>4</v>
      </c>
      <c r="H54" s="5">
        <f t="shared" si="1"/>
        <v>0</v>
      </c>
      <c r="I54" s="5">
        <v>0</v>
      </c>
      <c r="J54" s="5">
        <f t="shared" si="2"/>
        <v>282000</v>
      </c>
      <c r="K54" s="5">
        <v>94</v>
      </c>
      <c r="L54" s="5">
        <f t="shared" si="3"/>
        <v>60000</v>
      </c>
      <c r="M54" s="5">
        <v>4</v>
      </c>
      <c r="N54" s="6">
        <f>400000-L54-H54-F54-D54-Table3[[#This Row],[Column4]]</f>
        <v>-262000</v>
      </c>
    </row>
    <row r="55" spans="1:14" x14ac:dyDescent="0.45">
      <c r="A55" s="10">
        <f t="shared" si="4"/>
        <v>54</v>
      </c>
      <c r="B55" s="5" t="s">
        <v>121</v>
      </c>
      <c r="C55" s="5" t="s">
        <v>24</v>
      </c>
      <c r="D55" s="5">
        <f t="shared" si="5"/>
        <v>0</v>
      </c>
      <c r="E55" s="5">
        <v>0</v>
      </c>
      <c r="F55" s="5">
        <f t="shared" si="0"/>
        <v>0</v>
      </c>
      <c r="G55" s="5">
        <v>0</v>
      </c>
      <c r="H55" s="5">
        <f t="shared" si="1"/>
        <v>30000</v>
      </c>
      <c r="I55" s="5">
        <v>1</v>
      </c>
      <c r="J55" s="5">
        <f t="shared" si="2"/>
        <v>174000</v>
      </c>
      <c r="K55" s="5">
        <v>58</v>
      </c>
      <c r="L55" s="5">
        <f t="shared" si="3"/>
        <v>15000</v>
      </c>
      <c r="M55" s="5">
        <v>1</v>
      </c>
      <c r="N55" s="6">
        <f>400000-L55-H55-F55-D55-Table3[[#This Row],[Column4]]</f>
        <v>181000</v>
      </c>
    </row>
    <row r="56" spans="1:14" x14ac:dyDescent="0.45">
      <c r="A56" s="10">
        <f t="shared" si="4"/>
        <v>55</v>
      </c>
      <c r="B56" s="5" t="s">
        <v>122</v>
      </c>
      <c r="C56" s="5" t="s">
        <v>24</v>
      </c>
      <c r="D56" s="5">
        <f t="shared" si="5"/>
        <v>100000</v>
      </c>
      <c r="E56" s="5">
        <v>5</v>
      </c>
      <c r="F56" s="5">
        <f t="shared" si="0"/>
        <v>0</v>
      </c>
      <c r="G56" s="5">
        <v>0</v>
      </c>
      <c r="H56" s="5">
        <f t="shared" si="1"/>
        <v>0</v>
      </c>
      <c r="I56" s="5">
        <v>0</v>
      </c>
      <c r="J56" s="5">
        <f t="shared" si="2"/>
        <v>192000</v>
      </c>
      <c r="K56" s="5">
        <v>64</v>
      </c>
      <c r="L56" s="5">
        <f t="shared" si="3"/>
        <v>45000</v>
      </c>
      <c r="M56" s="5">
        <v>3</v>
      </c>
      <c r="N56" s="6">
        <f>400000-L56-H56-F56-D56-Table3[[#This Row],[Column4]]</f>
        <v>63000</v>
      </c>
    </row>
    <row r="57" spans="1:14" x14ac:dyDescent="0.45">
      <c r="A57" s="10">
        <f t="shared" si="4"/>
        <v>56</v>
      </c>
      <c r="B57" s="5" t="s">
        <v>123</v>
      </c>
      <c r="C57" s="5" t="s">
        <v>24</v>
      </c>
      <c r="D57" s="5">
        <f t="shared" si="5"/>
        <v>320000</v>
      </c>
      <c r="E57" s="5">
        <v>16</v>
      </c>
      <c r="F57" s="5">
        <f t="shared" si="0"/>
        <v>120000</v>
      </c>
      <c r="G57" s="5">
        <v>4</v>
      </c>
      <c r="H57" s="5">
        <f t="shared" si="1"/>
        <v>60000</v>
      </c>
      <c r="I57" s="5">
        <v>2</v>
      </c>
      <c r="J57" s="5">
        <f t="shared" si="2"/>
        <v>441000</v>
      </c>
      <c r="K57" s="5">
        <v>147</v>
      </c>
      <c r="L57" s="5">
        <f t="shared" si="3"/>
        <v>15000</v>
      </c>
      <c r="M57" s="5">
        <v>1</v>
      </c>
      <c r="N57" s="6">
        <f>400000-L57-H57-F57-D57-Table3[[#This Row],[Column4]]</f>
        <v>-556000</v>
      </c>
    </row>
    <row r="58" spans="1:14" x14ac:dyDescent="0.45">
      <c r="A58" s="10">
        <f t="shared" si="4"/>
        <v>57</v>
      </c>
      <c r="B58" s="5" t="s">
        <v>124</v>
      </c>
      <c r="C58" s="5" t="s">
        <v>24</v>
      </c>
      <c r="D58" s="5">
        <f t="shared" si="5"/>
        <v>20000</v>
      </c>
      <c r="E58" s="5">
        <v>1</v>
      </c>
      <c r="F58" s="5">
        <f t="shared" si="0"/>
        <v>30000</v>
      </c>
      <c r="G58" s="5">
        <v>1</v>
      </c>
      <c r="H58" s="5">
        <f t="shared" si="1"/>
        <v>0</v>
      </c>
      <c r="I58" s="5">
        <v>0</v>
      </c>
      <c r="J58" s="5">
        <f t="shared" si="2"/>
        <v>204000</v>
      </c>
      <c r="K58" s="5">
        <v>68</v>
      </c>
      <c r="L58" s="5">
        <f t="shared" si="3"/>
        <v>15000</v>
      </c>
      <c r="M58" s="5">
        <v>1</v>
      </c>
      <c r="N58" s="6">
        <f>400000-L58-H58-F58-D58-Table3[[#This Row],[Column4]]</f>
        <v>131000</v>
      </c>
    </row>
    <row r="59" spans="1:14" x14ac:dyDescent="0.45">
      <c r="A59" s="10">
        <f t="shared" si="4"/>
        <v>58</v>
      </c>
      <c r="B59" s="5" t="s">
        <v>125</v>
      </c>
      <c r="C59" s="5" t="s">
        <v>24</v>
      </c>
      <c r="D59" s="5">
        <f t="shared" si="5"/>
        <v>260000</v>
      </c>
      <c r="E59" s="5">
        <v>13</v>
      </c>
      <c r="F59" s="5">
        <f t="shared" si="0"/>
        <v>0</v>
      </c>
      <c r="G59" s="5">
        <v>0</v>
      </c>
      <c r="H59" s="5">
        <f t="shared" si="1"/>
        <v>0</v>
      </c>
      <c r="I59" s="5">
        <v>0</v>
      </c>
      <c r="J59" s="5">
        <f t="shared" si="2"/>
        <v>423000</v>
      </c>
      <c r="K59" s="5">
        <v>141</v>
      </c>
      <c r="L59" s="5">
        <f t="shared" si="3"/>
        <v>0</v>
      </c>
      <c r="M59" s="5">
        <v>0</v>
      </c>
      <c r="N59" s="6">
        <f>400000-L59-H59-F59-D59-Table3[[#This Row],[Column4]]</f>
        <v>-283000</v>
      </c>
    </row>
    <row r="60" spans="1:14" x14ac:dyDescent="0.45">
      <c r="A60" s="10">
        <f t="shared" si="4"/>
        <v>59</v>
      </c>
      <c r="B60" s="5" t="s">
        <v>126</v>
      </c>
      <c r="C60" s="5" t="s">
        <v>24</v>
      </c>
      <c r="D60" s="5">
        <f t="shared" si="5"/>
        <v>360000</v>
      </c>
      <c r="E60" s="5">
        <v>18</v>
      </c>
      <c r="F60" s="5">
        <f t="shared" si="0"/>
        <v>0</v>
      </c>
      <c r="G60" s="5">
        <v>0</v>
      </c>
      <c r="H60" s="5">
        <f t="shared" si="1"/>
        <v>0</v>
      </c>
      <c r="I60" s="5">
        <v>0</v>
      </c>
      <c r="J60" s="5">
        <f t="shared" si="2"/>
        <v>333000</v>
      </c>
      <c r="K60" s="5">
        <v>111</v>
      </c>
      <c r="L60" s="5">
        <f t="shared" si="3"/>
        <v>15000</v>
      </c>
      <c r="M60" s="5">
        <v>1</v>
      </c>
      <c r="N60" s="6">
        <f>400000-L60-H60-F60-D60-Table3[[#This Row],[Column4]]</f>
        <v>-308000</v>
      </c>
    </row>
    <row r="61" spans="1:14" x14ac:dyDescent="0.45">
      <c r="A61" s="10">
        <f t="shared" si="4"/>
        <v>60</v>
      </c>
      <c r="B61" s="5" t="s">
        <v>127</v>
      </c>
      <c r="C61" s="5" t="s">
        <v>24</v>
      </c>
      <c r="D61" s="5">
        <f t="shared" si="5"/>
        <v>0</v>
      </c>
      <c r="E61" s="5">
        <v>0</v>
      </c>
      <c r="F61" s="5">
        <f t="shared" si="0"/>
        <v>30000</v>
      </c>
      <c r="G61" s="5">
        <v>1</v>
      </c>
      <c r="H61" s="5">
        <f t="shared" si="1"/>
        <v>0</v>
      </c>
      <c r="I61" s="5">
        <v>0</v>
      </c>
      <c r="J61" s="5">
        <f t="shared" si="2"/>
        <v>270000</v>
      </c>
      <c r="K61" s="5">
        <v>90</v>
      </c>
      <c r="L61" s="5">
        <f t="shared" si="3"/>
        <v>45000</v>
      </c>
      <c r="M61" s="5">
        <v>3</v>
      </c>
      <c r="N61" s="6">
        <f>400000-L61-H61-F61-D61-Table3[[#This Row],[Column4]]</f>
        <v>55000</v>
      </c>
    </row>
    <row r="62" spans="1:14" x14ac:dyDescent="0.45">
      <c r="A62" s="10">
        <f t="shared" si="4"/>
        <v>61</v>
      </c>
      <c r="B62" s="5" t="s">
        <v>128</v>
      </c>
      <c r="C62" s="5" t="s">
        <v>24</v>
      </c>
      <c r="D62" s="5">
        <f t="shared" si="5"/>
        <v>60000</v>
      </c>
      <c r="E62" s="5">
        <v>3</v>
      </c>
      <c r="F62" s="5">
        <f t="shared" si="0"/>
        <v>0</v>
      </c>
      <c r="G62" s="5">
        <v>0</v>
      </c>
      <c r="H62" s="5">
        <f t="shared" si="1"/>
        <v>0</v>
      </c>
      <c r="I62" s="5">
        <v>0</v>
      </c>
      <c r="J62" s="5">
        <f t="shared" si="2"/>
        <v>126000</v>
      </c>
      <c r="K62" s="5">
        <v>42</v>
      </c>
      <c r="L62" s="5">
        <f t="shared" si="3"/>
        <v>60000</v>
      </c>
      <c r="M62" s="5">
        <v>4</v>
      </c>
      <c r="N62" s="6">
        <f>400000-L62-H62-F62-D62-Table3[[#This Row],[Column4]]</f>
        <v>154000</v>
      </c>
    </row>
    <row r="63" spans="1:14" x14ac:dyDescent="0.45">
      <c r="A63" s="10">
        <f t="shared" si="4"/>
        <v>62</v>
      </c>
      <c r="B63" s="5" t="s">
        <v>129</v>
      </c>
      <c r="C63" s="5" t="s">
        <v>24</v>
      </c>
      <c r="D63" s="5">
        <f t="shared" si="5"/>
        <v>0</v>
      </c>
      <c r="E63" s="5">
        <v>0</v>
      </c>
      <c r="F63" s="5">
        <f t="shared" si="0"/>
        <v>30000</v>
      </c>
      <c r="G63" s="5">
        <v>1</v>
      </c>
      <c r="H63" s="5">
        <f t="shared" si="1"/>
        <v>0</v>
      </c>
      <c r="I63" s="5">
        <v>0</v>
      </c>
      <c r="J63" s="5">
        <f t="shared" si="2"/>
        <v>57000</v>
      </c>
      <c r="K63" s="5">
        <v>19</v>
      </c>
      <c r="L63" s="5">
        <f t="shared" si="3"/>
        <v>45000</v>
      </c>
      <c r="M63" s="5">
        <v>3</v>
      </c>
      <c r="N63" s="6">
        <f>400000-L63-H63-F63-D63-Table3[[#This Row],[Column4]]</f>
        <v>268000</v>
      </c>
    </row>
    <row r="64" spans="1:14" x14ac:dyDescent="0.45">
      <c r="A64" s="10">
        <f t="shared" si="4"/>
        <v>63</v>
      </c>
      <c r="B64" s="5" t="s">
        <v>130</v>
      </c>
      <c r="C64" s="5" t="s">
        <v>24</v>
      </c>
      <c r="D64" s="5">
        <f t="shared" si="5"/>
        <v>60000</v>
      </c>
      <c r="E64" s="5">
        <v>3</v>
      </c>
      <c r="F64" s="5">
        <f t="shared" si="0"/>
        <v>60000</v>
      </c>
      <c r="G64" s="5">
        <v>2</v>
      </c>
      <c r="H64" s="5">
        <f t="shared" si="1"/>
        <v>0</v>
      </c>
      <c r="I64" s="5">
        <v>0</v>
      </c>
      <c r="J64" s="5">
        <f t="shared" si="2"/>
        <v>108000</v>
      </c>
      <c r="K64" s="5">
        <v>36</v>
      </c>
      <c r="L64" s="5">
        <f t="shared" si="3"/>
        <v>15000</v>
      </c>
      <c r="M64" s="5">
        <v>1</v>
      </c>
      <c r="N64" s="6">
        <f>400000-L64-H64-F64-D64-Table3[[#This Row],[Column4]]</f>
        <v>157000</v>
      </c>
    </row>
    <row r="65" spans="1:14" x14ac:dyDescent="0.45">
      <c r="A65" s="10">
        <f t="shared" si="4"/>
        <v>64</v>
      </c>
      <c r="B65" s="5" t="s">
        <v>131</v>
      </c>
      <c r="C65" s="5" t="s">
        <v>24</v>
      </c>
      <c r="D65" s="5">
        <f t="shared" si="5"/>
        <v>20000</v>
      </c>
      <c r="E65" s="5">
        <v>1</v>
      </c>
      <c r="F65" s="5">
        <f t="shared" si="0"/>
        <v>30000</v>
      </c>
      <c r="G65" s="5">
        <v>1</v>
      </c>
      <c r="H65" s="5">
        <f t="shared" si="1"/>
        <v>0</v>
      </c>
      <c r="I65" s="5">
        <v>0</v>
      </c>
      <c r="J65" s="5">
        <f t="shared" si="2"/>
        <v>123000</v>
      </c>
      <c r="K65" s="5">
        <v>41</v>
      </c>
      <c r="L65" s="5">
        <f t="shared" si="3"/>
        <v>30000</v>
      </c>
      <c r="M65" s="5">
        <v>2</v>
      </c>
      <c r="N65" s="6">
        <f>400000-L65-H65-F65-D65-Table3[[#This Row],[Column4]]</f>
        <v>197000</v>
      </c>
    </row>
    <row r="66" spans="1:14" x14ac:dyDescent="0.45">
      <c r="A66" s="10">
        <f t="shared" si="4"/>
        <v>65</v>
      </c>
      <c r="B66" s="5" t="s">
        <v>132</v>
      </c>
      <c r="C66" s="5" t="s">
        <v>24</v>
      </c>
      <c r="D66" s="5">
        <f t="shared" si="5"/>
        <v>40000</v>
      </c>
      <c r="E66" s="5">
        <v>2</v>
      </c>
      <c r="F66" s="5">
        <f t="shared" si="0"/>
        <v>0</v>
      </c>
      <c r="G66" s="5">
        <v>0</v>
      </c>
      <c r="H66" s="5">
        <f t="shared" si="1"/>
        <v>30000</v>
      </c>
      <c r="I66" s="5">
        <v>1</v>
      </c>
      <c r="J66" s="5">
        <f t="shared" si="2"/>
        <v>132000</v>
      </c>
      <c r="K66" s="5">
        <v>44</v>
      </c>
      <c r="L66" s="5">
        <f t="shared" si="3"/>
        <v>15000</v>
      </c>
      <c r="M66" s="5">
        <v>1</v>
      </c>
      <c r="N66" s="6">
        <f>400000-L66-H66-F66-D66-Table3[[#This Row],[Column4]]</f>
        <v>183000</v>
      </c>
    </row>
    <row r="67" spans="1:14" x14ac:dyDescent="0.45">
      <c r="A67" s="10">
        <f t="shared" ref="A67:A101" si="6">ROW(A67)-1</f>
        <v>66</v>
      </c>
      <c r="B67" s="5" t="s">
        <v>133</v>
      </c>
      <c r="C67" s="5" t="s">
        <v>24</v>
      </c>
      <c r="D67" s="5">
        <f t="shared" ref="D67:D101" si="7">E67*20000</f>
        <v>20000</v>
      </c>
      <c r="E67" s="5">
        <v>1</v>
      </c>
      <c r="F67" s="5">
        <f t="shared" ref="F67:F101" si="8">G67*30000</f>
        <v>60000</v>
      </c>
      <c r="G67" s="5">
        <v>2</v>
      </c>
      <c r="H67" s="5">
        <f t="shared" ref="H67:H101" si="9">I67*30000</f>
        <v>0</v>
      </c>
      <c r="I67" s="5">
        <v>0</v>
      </c>
      <c r="J67" s="5">
        <f t="shared" ref="J67:J101" si="10">K67*3000</f>
        <v>78000</v>
      </c>
      <c r="K67" s="5">
        <v>26</v>
      </c>
      <c r="L67" s="5">
        <f t="shared" ref="L67:L101" si="11">M67*15000</f>
        <v>15000</v>
      </c>
      <c r="M67" s="5">
        <v>1</v>
      </c>
      <c r="N67" s="6">
        <f>400000-L67-H67-F67-D67-Table3[[#This Row],[Column4]]</f>
        <v>227000</v>
      </c>
    </row>
    <row r="68" spans="1:14" x14ac:dyDescent="0.45">
      <c r="A68" s="10">
        <f t="shared" si="6"/>
        <v>67</v>
      </c>
      <c r="B68" s="5" t="s">
        <v>134</v>
      </c>
      <c r="C68" s="5" t="s">
        <v>24</v>
      </c>
      <c r="D68" s="5">
        <f t="shared" si="7"/>
        <v>0</v>
      </c>
      <c r="E68" s="5">
        <v>0</v>
      </c>
      <c r="F68" s="5">
        <f t="shared" si="8"/>
        <v>0</v>
      </c>
      <c r="G68" s="5">
        <v>0</v>
      </c>
      <c r="H68" s="5">
        <f t="shared" si="9"/>
        <v>0</v>
      </c>
      <c r="I68" s="5">
        <v>0</v>
      </c>
      <c r="J68" s="5">
        <f t="shared" si="10"/>
        <v>87000</v>
      </c>
      <c r="K68" s="5">
        <v>29</v>
      </c>
      <c r="L68" s="5">
        <f t="shared" si="11"/>
        <v>30000</v>
      </c>
      <c r="M68" s="5">
        <v>2</v>
      </c>
      <c r="N68" s="6">
        <f>400000-L68-H68-F68-D68-Table3[[#This Row],[Column4]]</f>
        <v>283000</v>
      </c>
    </row>
    <row r="69" spans="1:14" x14ac:dyDescent="0.45">
      <c r="A69" s="10">
        <f t="shared" si="6"/>
        <v>68</v>
      </c>
      <c r="B69" s="5" t="s">
        <v>135</v>
      </c>
      <c r="C69" s="5" t="s">
        <v>24</v>
      </c>
      <c r="D69" s="5">
        <f t="shared" si="7"/>
        <v>0</v>
      </c>
      <c r="E69" s="5">
        <v>0</v>
      </c>
      <c r="F69" s="5">
        <f t="shared" si="8"/>
        <v>0</v>
      </c>
      <c r="G69" s="5">
        <v>0</v>
      </c>
      <c r="H69" s="5">
        <f t="shared" si="9"/>
        <v>0</v>
      </c>
      <c r="I69" s="5">
        <v>0</v>
      </c>
      <c r="J69" s="5">
        <f t="shared" si="10"/>
        <v>48000</v>
      </c>
      <c r="K69" s="5">
        <v>16</v>
      </c>
      <c r="L69" s="5">
        <f t="shared" si="11"/>
        <v>0</v>
      </c>
      <c r="M69" s="5">
        <v>0</v>
      </c>
      <c r="N69" s="6">
        <f>400000-L69-H69-F69-D69-Table3[[#This Row],[Column4]]</f>
        <v>352000</v>
      </c>
    </row>
    <row r="70" spans="1:14" x14ac:dyDescent="0.45">
      <c r="A70" s="10">
        <f t="shared" si="6"/>
        <v>69</v>
      </c>
      <c r="B70" s="5" t="s">
        <v>136</v>
      </c>
      <c r="C70" s="5" t="s">
        <v>24</v>
      </c>
      <c r="D70" s="5">
        <f t="shared" si="7"/>
        <v>0</v>
      </c>
      <c r="E70" s="5">
        <v>0</v>
      </c>
      <c r="F70" s="5">
        <f t="shared" si="8"/>
        <v>60000</v>
      </c>
      <c r="G70" s="5">
        <v>2</v>
      </c>
      <c r="H70" s="5">
        <f t="shared" si="9"/>
        <v>0</v>
      </c>
      <c r="I70" s="5">
        <v>0</v>
      </c>
      <c r="J70" s="5">
        <f t="shared" si="10"/>
        <v>135000</v>
      </c>
      <c r="K70" s="5">
        <v>45</v>
      </c>
      <c r="L70" s="5">
        <f t="shared" si="11"/>
        <v>30000</v>
      </c>
      <c r="M70" s="5">
        <v>2</v>
      </c>
      <c r="N70" s="6">
        <f>400000-L70-H70-F70-D70-Table3[[#This Row],[Column4]]</f>
        <v>175000</v>
      </c>
    </row>
    <row r="71" spans="1:14" x14ac:dyDescent="0.45">
      <c r="A71" s="10">
        <f t="shared" si="6"/>
        <v>70</v>
      </c>
      <c r="B71" s="5" t="s">
        <v>137</v>
      </c>
      <c r="C71" s="5" t="s">
        <v>24</v>
      </c>
      <c r="D71" s="5">
        <f t="shared" si="7"/>
        <v>80000</v>
      </c>
      <c r="E71" s="5">
        <v>4</v>
      </c>
      <c r="F71" s="5">
        <f t="shared" si="8"/>
        <v>0</v>
      </c>
      <c r="G71" s="5">
        <v>0</v>
      </c>
      <c r="H71" s="5">
        <f t="shared" si="9"/>
        <v>0</v>
      </c>
      <c r="I71" s="5">
        <v>0</v>
      </c>
      <c r="J71" s="5">
        <f t="shared" si="10"/>
        <v>129000</v>
      </c>
      <c r="K71" s="5">
        <v>43</v>
      </c>
      <c r="L71" s="5">
        <f t="shared" si="11"/>
        <v>15000</v>
      </c>
      <c r="M71" s="5">
        <v>1</v>
      </c>
      <c r="N71" s="6">
        <f>400000-L71-H71-F71-D71-Table3[[#This Row],[Column4]]</f>
        <v>176000</v>
      </c>
    </row>
    <row r="72" spans="1:14" x14ac:dyDescent="0.45">
      <c r="A72" s="10">
        <f t="shared" si="6"/>
        <v>71</v>
      </c>
      <c r="B72" s="5" t="s">
        <v>138</v>
      </c>
      <c r="C72" s="5" t="s">
        <v>24</v>
      </c>
      <c r="D72" s="5">
        <f t="shared" si="7"/>
        <v>20000</v>
      </c>
      <c r="E72" s="5">
        <v>1</v>
      </c>
      <c r="F72" s="5">
        <f t="shared" si="8"/>
        <v>30000</v>
      </c>
      <c r="G72" s="5">
        <v>1</v>
      </c>
      <c r="H72" s="5">
        <f t="shared" si="9"/>
        <v>0</v>
      </c>
      <c r="I72" s="5">
        <v>0</v>
      </c>
      <c r="J72" s="5">
        <f t="shared" si="10"/>
        <v>246000</v>
      </c>
      <c r="K72" s="5">
        <v>82</v>
      </c>
      <c r="L72" s="5">
        <f t="shared" si="11"/>
        <v>30000</v>
      </c>
      <c r="M72" s="5">
        <v>2</v>
      </c>
      <c r="N72" s="6">
        <f>400000-L72-H72-F72-D72-Table3[[#This Row],[Column4]]</f>
        <v>74000</v>
      </c>
    </row>
    <row r="73" spans="1:14" x14ac:dyDescent="0.45">
      <c r="A73" s="10">
        <f t="shared" si="6"/>
        <v>72</v>
      </c>
      <c r="B73" s="5" t="s">
        <v>139</v>
      </c>
      <c r="C73" s="5" t="s">
        <v>24</v>
      </c>
      <c r="D73" s="5">
        <f t="shared" si="7"/>
        <v>0</v>
      </c>
      <c r="E73" s="5">
        <v>0</v>
      </c>
      <c r="F73" s="5">
        <f t="shared" si="8"/>
        <v>0</v>
      </c>
      <c r="G73" s="5">
        <v>0</v>
      </c>
      <c r="H73" s="5">
        <f t="shared" si="9"/>
        <v>0</v>
      </c>
      <c r="I73" s="5">
        <v>0</v>
      </c>
      <c r="J73" s="5">
        <f t="shared" si="10"/>
        <v>90000</v>
      </c>
      <c r="K73" s="5">
        <v>30</v>
      </c>
      <c r="L73" s="5">
        <f t="shared" si="11"/>
        <v>45000</v>
      </c>
      <c r="M73" s="5">
        <v>3</v>
      </c>
      <c r="N73" s="6">
        <f>400000-L73-H73-F73-D73-Table3[[#This Row],[Column4]]</f>
        <v>265000</v>
      </c>
    </row>
    <row r="74" spans="1:14" x14ac:dyDescent="0.45">
      <c r="A74" s="10">
        <f t="shared" si="6"/>
        <v>73</v>
      </c>
      <c r="B74" s="5" t="s">
        <v>140</v>
      </c>
      <c r="C74" s="5" t="s">
        <v>24</v>
      </c>
      <c r="D74" s="5">
        <f t="shared" si="7"/>
        <v>120000</v>
      </c>
      <c r="E74" s="5">
        <v>6</v>
      </c>
      <c r="F74" s="5">
        <f t="shared" si="8"/>
        <v>0</v>
      </c>
      <c r="G74" s="5">
        <v>0</v>
      </c>
      <c r="H74" s="5">
        <f t="shared" si="9"/>
        <v>0</v>
      </c>
      <c r="I74" s="5">
        <v>0</v>
      </c>
      <c r="J74" s="5">
        <f t="shared" si="10"/>
        <v>0</v>
      </c>
      <c r="K74" s="5">
        <v>0</v>
      </c>
      <c r="L74" s="5">
        <f t="shared" si="11"/>
        <v>90000</v>
      </c>
      <c r="M74" s="5">
        <v>6</v>
      </c>
      <c r="N74" s="6">
        <f>400000-L74-H74-F74-D74-Table3[[#This Row],[Column4]]</f>
        <v>190000</v>
      </c>
    </row>
    <row r="75" spans="1:14" x14ac:dyDescent="0.45">
      <c r="A75" s="10">
        <f t="shared" si="6"/>
        <v>74</v>
      </c>
      <c r="B75" s="5" t="s">
        <v>141</v>
      </c>
      <c r="C75" s="5" t="s">
        <v>24</v>
      </c>
      <c r="D75" s="5">
        <f t="shared" si="7"/>
        <v>20000</v>
      </c>
      <c r="E75" s="5">
        <v>1</v>
      </c>
      <c r="F75" s="5">
        <f t="shared" si="8"/>
        <v>60000</v>
      </c>
      <c r="G75" s="5">
        <v>2</v>
      </c>
      <c r="H75" s="5">
        <f t="shared" si="9"/>
        <v>30000</v>
      </c>
      <c r="I75" s="5">
        <v>1</v>
      </c>
      <c r="J75" s="5">
        <f t="shared" si="10"/>
        <v>36000</v>
      </c>
      <c r="K75" s="5">
        <v>12</v>
      </c>
      <c r="L75" s="5">
        <f t="shared" si="11"/>
        <v>45000</v>
      </c>
      <c r="M75" s="5">
        <v>3</v>
      </c>
      <c r="N75" s="6">
        <f>400000-L75-H75-F75-D75-Table3[[#This Row],[Column4]]</f>
        <v>209000</v>
      </c>
    </row>
    <row r="76" spans="1:14" x14ac:dyDescent="0.45">
      <c r="A76" s="10">
        <f t="shared" si="6"/>
        <v>75</v>
      </c>
      <c r="B76" s="5" t="s">
        <v>142</v>
      </c>
      <c r="C76" s="5" t="s">
        <v>24</v>
      </c>
      <c r="D76" s="5">
        <f t="shared" si="7"/>
        <v>20000</v>
      </c>
      <c r="E76" s="5">
        <v>1</v>
      </c>
      <c r="F76" s="5">
        <f t="shared" si="8"/>
        <v>0</v>
      </c>
      <c r="G76" s="5">
        <v>0</v>
      </c>
      <c r="H76" s="5">
        <f t="shared" si="9"/>
        <v>0</v>
      </c>
      <c r="I76" s="5">
        <v>0</v>
      </c>
      <c r="J76" s="5">
        <f t="shared" si="10"/>
        <v>18000</v>
      </c>
      <c r="K76" s="5">
        <v>6</v>
      </c>
      <c r="L76" s="5">
        <f t="shared" si="11"/>
        <v>45000</v>
      </c>
      <c r="M76" s="5">
        <v>3</v>
      </c>
      <c r="N76" s="6">
        <f>400000-L76-H76-F76-D76-Table3[[#This Row],[Column4]]</f>
        <v>317000</v>
      </c>
    </row>
    <row r="77" spans="1:14" x14ac:dyDescent="0.45">
      <c r="A77" s="10">
        <f t="shared" si="6"/>
        <v>76</v>
      </c>
      <c r="B77" s="5" t="s">
        <v>143</v>
      </c>
      <c r="C77" s="5" t="s">
        <v>24</v>
      </c>
      <c r="D77" s="5">
        <f t="shared" si="7"/>
        <v>40000</v>
      </c>
      <c r="E77" s="5">
        <v>2</v>
      </c>
      <c r="F77" s="5">
        <f t="shared" si="8"/>
        <v>30000</v>
      </c>
      <c r="G77" s="5">
        <v>1</v>
      </c>
      <c r="H77" s="5">
        <f t="shared" si="9"/>
        <v>0</v>
      </c>
      <c r="I77" s="5">
        <v>0</v>
      </c>
      <c r="J77" s="5">
        <f t="shared" si="10"/>
        <v>18000</v>
      </c>
      <c r="K77" s="5">
        <v>6</v>
      </c>
      <c r="L77" s="5">
        <f t="shared" si="11"/>
        <v>15000</v>
      </c>
      <c r="M77" s="5">
        <v>1</v>
      </c>
      <c r="N77" s="6">
        <f>400000-L77-H77-F77-D77-Table3[[#This Row],[Column4]]</f>
        <v>297000</v>
      </c>
    </row>
    <row r="78" spans="1:14" x14ac:dyDescent="0.45">
      <c r="A78" s="10">
        <f t="shared" si="6"/>
        <v>77</v>
      </c>
      <c r="B78" s="5" t="s">
        <v>144</v>
      </c>
      <c r="C78" s="5" t="s">
        <v>24</v>
      </c>
      <c r="D78" s="5">
        <f t="shared" si="7"/>
        <v>20000</v>
      </c>
      <c r="E78" s="5">
        <v>1</v>
      </c>
      <c r="F78" s="5">
        <f t="shared" si="8"/>
        <v>0</v>
      </c>
      <c r="G78" s="5">
        <v>0</v>
      </c>
      <c r="H78" s="5">
        <f t="shared" si="9"/>
        <v>0</v>
      </c>
      <c r="I78" s="5">
        <v>0</v>
      </c>
      <c r="J78" s="5">
        <f t="shared" si="10"/>
        <v>63000</v>
      </c>
      <c r="K78" s="5">
        <v>21</v>
      </c>
      <c r="L78" s="5">
        <f t="shared" si="11"/>
        <v>45000</v>
      </c>
      <c r="M78" s="5">
        <v>3</v>
      </c>
      <c r="N78" s="6">
        <f>400000-L78-H78-F78-D78-Table3[[#This Row],[Column4]]</f>
        <v>272000</v>
      </c>
    </row>
    <row r="79" spans="1:14" x14ac:dyDescent="0.45">
      <c r="A79" s="10">
        <f t="shared" si="6"/>
        <v>78</v>
      </c>
      <c r="B79" s="5" t="s">
        <v>145</v>
      </c>
      <c r="C79" s="5" t="s">
        <v>24</v>
      </c>
      <c r="D79" s="5">
        <f t="shared" si="7"/>
        <v>20000</v>
      </c>
      <c r="E79" s="5">
        <v>1</v>
      </c>
      <c r="F79" s="5">
        <f t="shared" si="8"/>
        <v>0</v>
      </c>
      <c r="G79" s="5">
        <v>0</v>
      </c>
      <c r="H79" s="5">
        <f t="shared" si="9"/>
        <v>0</v>
      </c>
      <c r="I79" s="5">
        <v>0</v>
      </c>
      <c r="J79" s="5">
        <f t="shared" si="10"/>
        <v>0</v>
      </c>
      <c r="K79" s="5">
        <v>0</v>
      </c>
      <c r="L79" s="5">
        <f t="shared" si="11"/>
        <v>0</v>
      </c>
      <c r="M79" s="5">
        <v>0</v>
      </c>
      <c r="N79" s="6">
        <f>400000-L79-H79-F79-D79-Table3[[#This Row],[Column4]]</f>
        <v>380000</v>
      </c>
    </row>
    <row r="80" spans="1:14" x14ac:dyDescent="0.45">
      <c r="A80" s="10">
        <f t="shared" si="6"/>
        <v>79</v>
      </c>
      <c r="B80" s="5" t="s">
        <v>146</v>
      </c>
      <c r="C80" s="5" t="s">
        <v>24</v>
      </c>
      <c r="D80" s="5">
        <f t="shared" si="7"/>
        <v>40000</v>
      </c>
      <c r="E80" s="5">
        <v>2</v>
      </c>
      <c r="F80" s="5">
        <f t="shared" si="8"/>
        <v>60000</v>
      </c>
      <c r="G80" s="5">
        <v>2</v>
      </c>
      <c r="H80" s="5">
        <f t="shared" si="9"/>
        <v>0</v>
      </c>
      <c r="I80" s="5">
        <v>0</v>
      </c>
      <c r="J80" s="5">
        <f t="shared" si="10"/>
        <v>0</v>
      </c>
      <c r="K80" s="5">
        <v>0</v>
      </c>
      <c r="L80" s="5">
        <f t="shared" si="11"/>
        <v>15000</v>
      </c>
      <c r="M80" s="5">
        <v>1</v>
      </c>
      <c r="N80" s="6">
        <f>400000-L80-H80-F80-D80-Table3[[#This Row],[Column4]]</f>
        <v>285000</v>
      </c>
    </row>
    <row r="81" spans="1:14" x14ac:dyDescent="0.45">
      <c r="A81" s="10">
        <f t="shared" si="6"/>
        <v>80</v>
      </c>
      <c r="B81" s="5" t="s">
        <v>147</v>
      </c>
      <c r="C81" s="5" t="s">
        <v>24</v>
      </c>
      <c r="D81" s="5">
        <f t="shared" si="7"/>
        <v>0</v>
      </c>
      <c r="E81" s="5">
        <v>0</v>
      </c>
      <c r="F81" s="5">
        <f t="shared" si="8"/>
        <v>0</v>
      </c>
      <c r="G81" s="5">
        <v>0</v>
      </c>
      <c r="H81" s="5">
        <f t="shared" si="9"/>
        <v>0</v>
      </c>
      <c r="I81" s="5">
        <v>0</v>
      </c>
      <c r="J81" s="5">
        <f t="shared" si="10"/>
        <v>0</v>
      </c>
      <c r="K81" s="5">
        <v>0</v>
      </c>
      <c r="L81" s="5">
        <f t="shared" si="11"/>
        <v>0</v>
      </c>
      <c r="M81" s="5">
        <v>0</v>
      </c>
      <c r="N81" s="6">
        <f>400000-L81-H81-F81-D81-Table3[[#This Row],[Column4]]</f>
        <v>400000</v>
      </c>
    </row>
    <row r="82" spans="1:14" x14ac:dyDescent="0.45">
      <c r="A82" s="10">
        <f t="shared" si="6"/>
        <v>81</v>
      </c>
      <c r="B82" s="5" t="s">
        <v>148</v>
      </c>
      <c r="C82" s="5" t="s">
        <v>24</v>
      </c>
      <c r="D82" s="5">
        <f t="shared" si="7"/>
        <v>40000</v>
      </c>
      <c r="E82" s="5">
        <v>2</v>
      </c>
      <c r="F82" s="5">
        <f t="shared" si="8"/>
        <v>30000</v>
      </c>
      <c r="G82" s="5">
        <v>1</v>
      </c>
      <c r="H82" s="5">
        <f t="shared" si="9"/>
        <v>0</v>
      </c>
      <c r="I82" s="5">
        <v>0</v>
      </c>
      <c r="J82" s="5">
        <f t="shared" si="10"/>
        <v>0</v>
      </c>
      <c r="K82" s="5">
        <v>0</v>
      </c>
      <c r="L82" s="5">
        <f t="shared" si="11"/>
        <v>15000</v>
      </c>
      <c r="M82" s="5">
        <v>1</v>
      </c>
      <c r="N82" s="6">
        <f>400000-L82-H82-F82-D82-Table3[[#This Row],[Column4]]</f>
        <v>315000</v>
      </c>
    </row>
    <row r="83" spans="1:14" x14ac:dyDescent="0.45">
      <c r="A83" s="10">
        <f t="shared" si="6"/>
        <v>82</v>
      </c>
      <c r="B83" s="5" t="s">
        <v>149</v>
      </c>
      <c r="C83" s="5" t="s">
        <v>24</v>
      </c>
      <c r="D83" s="5">
        <f t="shared" si="7"/>
        <v>40000</v>
      </c>
      <c r="E83" s="5">
        <v>2</v>
      </c>
      <c r="F83" s="5">
        <f t="shared" si="8"/>
        <v>60000</v>
      </c>
      <c r="G83" s="5">
        <v>2</v>
      </c>
      <c r="H83" s="5">
        <f t="shared" si="9"/>
        <v>0</v>
      </c>
      <c r="I83" s="5">
        <v>0</v>
      </c>
      <c r="J83" s="5">
        <f t="shared" si="10"/>
        <v>51000</v>
      </c>
      <c r="K83" s="5">
        <v>17</v>
      </c>
      <c r="L83" s="5">
        <f t="shared" si="11"/>
        <v>0</v>
      </c>
      <c r="M83" s="5">
        <v>0</v>
      </c>
      <c r="N83" s="6">
        <f>400000-L83-H83-F83-D83-Table3[[#This Row],[Column4]]</f>
        <v>249000</v>
      </c>
    </row>
    <row r="84" spans="1:14" x14ac:dyDescent="0.45">
      <c r="A84" s="10">
        <f t="shared" si="6"/>
        <v>83</v>
      </c>
      <c r="B84" s="5" t="s">
        <v>150</v>
      </c>
      <c r="C84" s="5" t="s">
        <v>24</v>
      </c>
      <c r="D84" s="5">
        <f t="shared" si="7"/>
        <v>40000</v>
      </c>
      <c r="E84" s="5">
        <v>2</v>
      </c>
      <c r="F84" s="5">
        <f t="shared" si="8"/>
        <v>30000</v>
      </c>
      <c r="G84" s="5">
        <v>1</v>
      </c>
      <c r="H84" s="5">
        <f t="shared" si="9"/>
        <v>0</v>
      </c>
      <c r="I84" s="5">
        <v>0</v>
      </c>
      <c r="J84" s="5">
        <f t="shared" si="10"/>
        <v>87000</v>
      </c>
      <c r="K84" s="5">
        <v>29</v>
      </c>
      <c r="L84" s="5">
        <f t="shared" si="11"/>
        <v>0</v>
      </c>
      <c r="M84" s="5">
        <v>0</v>
      </c>
      <c r="N84" s="6">
        <f>400000-L84-H84-F84-D84-Table3[[#This Row],[Column4]]</f>
        <v>243000</v>
      </c>
    </row>
    <row r="85" spans="1:14" x14ac:dyDescent="0.45">
      <c r="A85" s="10">
        <f t="shared" si="6"/>
        <v>84</v>
      </c>
      <c r="B85" s="5" t="s">
        <v>151</v>
      </c>
      <c r="C85" s="5" t="s">
        <v>24</v>
      </c>
      <c r="D85" s="5">
        <f t="shared" si="7"/>
        <v>20000</v>
      </c>
      <c r="E85" s="5">
        <v>1</v>
      </c>
      <c r="F85" s="5">
        <f t="shared" si="8"/>
        <v>30000</v>
      </c>
      <c r="G85" s="5">
        <v>1</v>
      </c>
      <c r="H85" s="5">
        <f t="shared" si="9"/>
        <v>0</v>
      </c>
      <c r="I85" s="5">
        <v>0</v>
      </c>
      <c r="J85" s="5">
        <f t="shared" si="10"/>
        <v>39000</v>
      </c>
      <c r="K85" s="5">
        <v>13</v>
      </c>
      <c r="L85" s="5">
        <f t="shared" si="11"/>
        <v>15000</v>
      </c>
      <c r="M85" s="5">
        <v>1</v>
      </c>
      <c r="N85" s="6">
        <f>400000-L85-H85-F85-D85-Table3[[#This Row],[Column4]]</f>
        <v>296000</v>
      </c>
    </row>
    <row r="86" spans="1:14" x14ac:dyDescent="0.45">
      <c r="A86" s="10">
        <f t="shared" si="6"/>
        <v>85</v>
      </c>
      <c r="B86" s="5" t="s">
        <v>152</v>
      </c>
      <c r="C86" s="5" t="s">
        <v>24</v>
      </c>
      <c r="D86" s="5">
        <f t="shared" si="7"/>
        <v>60000</v>
      </c>
      <c r="E86" s="5">
        <v>3</v>
      </c>
      <c r="F86" s="5">
        <f t="shared" si="8"/>
        <v>60000</v>
      </c>
      <c r="G86" s="5">
        <v>2</v>
      </c>
      <c r="H86" s="5">
        <f t="shared" si="9"/>
        <v>0</v>
      </c>
      <c r="I86" s="5">
        <v>0</v>
      </c>
      <c r="J86" s="5">
        <f t="shared" si="10"/>
        <v>345000</v>
      </c>
      <c r="K86" s="5">
        <v>115</v>
      </c>
      <c r="L86" s="5">
        <f t="shared" si="11"/>
        <v>0</v>
      </c>
      <c r="M86" s="5">
        <v>0</v>
      </c>
      <c r="N86" s="6">
        <f>400000-L86-H86-F86-D86-Table3[[#This Row],[Column4]]</f>
        <v>-65000</v>
      </c>
    </row>
    <row r="87" spans="1:14" x14ac:dyDescent="0.45">
      <c r="A87" s="10">
        <f t="shared" si="6"/>
        <v>86</v>
      </c>
      <c r="B87" s="5" t="s">
        <v>153</v>
      </c>
      <c r="C87" s="5" t="s">
        <v>24</v>
      </c>
      <c r="D87" s="5">
        <f t="shared" si="7"/>
        <v>40000</v>
      </c>
      <c r="E87" s="5">
        <v>2</v>
      </c>
      <c r="F87" s="5">
        <f t="shared" si="8"/>
        <v>30000</v>
      </c>
      <c r="G87" s="5">
        <v>1</v>
      </c>
      <c r="H87" s="5">
        <f t="shared" si="9"/>
        <v>0</v>
      </c>
      <c r="I87" s="5">
        <v>0</v>
      </c>
      <c r="J87" s="5">
        <f t="shared" si="10"/>
        <v>189000</v>
      </c>
      <c r="K87" s="5">
        <v>63</v>
      </c>
      <c r="L87" s="5">
        <f t="shared" si="11"/>
        <v>15000</v>
      </c>
      <c r="M87" s="5">
        <v>1</v>
      </c>
      <c r="N87" s="6">
        <f>400000-L87-H87-F87-D87-Table3[[#This Row],[Column4]]</f>
        <v>126000</v>
      </c>
    </row>
    <row r="88" spans="1:14" x14ac:dyDescent="0.45">
      <c r="A88" s="10">
        <f t="shared" si="6"/>
        <v>87</v>
      </c>
      <c r="B88" s="5" t="s">
        <v>154</v>
      </c>
      <c r="C88" s="5" t="s">
        <v>24</v>
      </c>
      <c r="D88" s="5">
        <f t="shared" si="7"/>
        <v>20000</v>
      </c>
      <c r="E88" s="5">
        <v>1</v>
      </c>
      <c r="F88" s="5">
        <f t="shared" si="8"/>
        <v>0</v>
      </c>
      <c r="G88" s="5">
        <v>0</v>
      </c>
      <c r="H88" s="5">
        <f t="shared" si="9"/>
        <v>0</v>
      </c>
      <c r="I88" s="5">
        <v>0</v>
      </c>
      <c r="J88" s="5">
        <f t="shared" si="10"/>
        <v>102000</v>
      </c>
      <c r="K88" s="5">
        <v>34</v>
      </c>
      <c r="L88" s="5">
        <f t="shared" si="11"/>
        <v>45000</v>
      </c>
      <c r="M88" s="5">
        <v>3</v>
      </c>
      <c r="N88" s="6">
        <f>400000-L88-H88-F88-D88-Table3[[#This Row],[Column4]]</f>
        <v>233000</v>
      </c>
    </row>
    <row r="89" spans="1:14" x14ac:dyDescent="0.45">
      <c r="A89" s="10">
        <f t="shared" si="6"/>
        <v>88</v>
      </c>
      <c r="B89" s="5" t="s">
        <v>155</v>
      </c>
      <c r="C89" s="5" t="s">
        <v>24</v>
      </c>
      <c r="D89" s="5">
        <f t="shared" si="7"/>
        <v>0</v>
      </c>
      <c r="E89" s="5">
        <v>0</v>
      </c>
      <c r="F89" s="5">
        <f t="shared" si="8"/>
        <v>0</v>
      </c>
      <c r="G89" s="5">
        <v>0</v>
      </c>
      <c r="H89" s="5">
        <f t="shared" si="9"/>
        <v>0</v>
      </c>
      <c r="I89" s="5">
        <v>0</v>
      </c>
      <c r="J89" s="5">
        <f t="shared" si="10"/>
        <v>39000</v>
      </c>
      <c r="K89" s="5">
        <v>13</v>
      </c>
      <c r="L89" s="5">
        <f t="shared" si="11"/>
        <v>30000</v>
      </c>
      <c r="M89" s="5">
        <v>2</v>
      </c>
      <c r="N89" s="6">
        <f>400000-L89-H89-F89-D89-Table3[[#This Row],[Column4]]</f>
        <v>331000</v>
      </c>
    </row>
    <row r="90" spans="1:14" x14ac:dyDescent="0.45">
      <c r="A90" s="10">
        <f t="shared" si="6"/>
        <v>89</v>
      </c>
      <c r="B90" s="5" t="s">
        <v>156</v>
      </c>
      <c r="C90" s="5" t="s">
        <v>24</v>
      </c>
      <c r="D90" s="5">
        <f t="shared" si="7"/>
        <v>0</v>
      </c>
      <c r="E90" s="5">
        <v>0</v>
      </c>
      <c r="F90" s="5">
        <f t="shared" si="8"/>
        <v>0</v>
      </c>
      <c r="G90" s="5">
        <v>0</v>
      </c>
      <c r="H90" s="5">
        <f t="shared" si="9"/>
        <v>0</v>
      </c>
      <c r="I90" s="5">
        <v>0</v>
      </c>
      <c r="J90" s="5">
        <f t="shared" si="10"/>
        <v>42000</v>
      </c>
      <c r="K90" s="5">
        <v>14</v>
      </c>
      <c r="L90" s="5">
        <f t="shared" si="11"/>
        <v>0</v>
      </c>
      <c r="M90" s="5">
        <v>0</v>
      </c>
      <c r="N90" s="6">
        <f>400000-L90-H90-F90-D90-Table3[[#This Row],[Column4]]</f>
        <v>358000</v>
      </c>
    </row>
    <row r="91" spans="1:14" x14ac:dyDescent="0.45">
      <c r="A91" s="10">
        <f t="shared" si="6"/>
        <v>90</v>
      </c>
      <c r="B91" s="5" t="s">
        <v>157</v>
      </c>
      <c r="C91" s="5" t="s">
        <v>24</v>
      </c>
      <c r="D91" s="5">
        <f t="shared" si="7"/>
        <v>0</v>
      </c>
      <c r="E91" s="5">
        <v>0</v>
      </c>
      <c r="F91" s="5">
        <f t="shared" si="8"/>
        <v>0</v>
      </c>
      <c r="G91" s="5">
        <v>0</v>
      </c>
      <c r="H91" s="5">
        <f t="shared" si="9"/>
        <v>0</v>
      </c>
      <c r="I91" s="5">
        <v>0</v>
      </c>
      <c r="J91" s="5">
        <f t="shared" si="10"/>
        <v>39000</v>
      </c>
      <c r="K91" s="5">
        <v>13</v>
      </c>
      <c r="L91" s="5">
        <f t="shared" si="11"/>
        <v>0</v>
      </c>
      <c r="M91" s="5">
        <v>0</v>
      </c>
      <c r="N91" s="6">
        <f>400000-L91-H91-F91-D91-Table3[[#This Row],[Column4]]</f>
        <v>361000</v>
      </c>
    </row>
    <row r="92" spans="1:14" x14ac:dyDescent="0.45">
      <c r="A92" s="10">
        <f t="shared" si="6"/>
        <v>91</v>
      </c>
      <c r="B92" s="5" t="s">
        <v>158</v>
      </c>
      <c r="C92" s="5" t="s">
        <v>24</v>
      </c>
      <c r="D92" s="5">
        <f t="shared" si="7"/>
        <v>40000</v>
      </c>
      <c r="E92" s="5">
        <v>2</v>
      </c>
      <c r="F92" s="5">
        <f t="shared" si="8"/>
        <v>60000</v>
      </c>
      <c r="G92" s="5">
        <v>2</v>
      </c>
      <c r="H92" s="5">
        <f t="shared" si="9"/>
        <v>0</v>
      </c>
      <c r="I92" s="5">
        <v>0</v>
      </c>
      <c r="J92" s="5">
        <f t="shared" si="10"/>
        <v>42000</v>
      </c>
      <c r="K92" s="5">
        <v>14</v>
      </c>
      <c r="L92" s="5">
        <f t="shared" si="11"/>
        <v>0</v>
      </c>
      <c r="M92" s="5">
        <v>0</v>
      </c>
      <c r="N92" s="6">
        <f>400000-L92-H92-F92-D92-Table3[[#This Row],[Column4]]</f>
        <v>258000</v>
      </c>
    </row>
    <row r="93" spans="1:14" x14ac:dyDescent="0.45">
      <c r="A93" s="10">
        <f t="shared" si="6"/>
        <v>92</v>
      </c>
      <c r="B93" s="5" t="s">
        <v>159</v>
      </c>
      <c r="C93" s="5" t="s">
        <v>24</v>
      </c>
      <c r="D93" s="5">
        <f t="shared" si="7"/>
        <v>20000</v>
      </c>
      <c r="E93" s="5">
        <v>1</v>
      </c>
      <c r="F93" s="5">
        <f t="shared" si="8"/>
        <v>0</v>
      </c>
      <c r="G93" s="5">
        <v>0</v>
      </c>
      <c r="H93" s="5">
        <f t="shared" si="9"/>
        <v>0</v>
      </c>
      <c r="I93" s="5">
        <v>0</v>
      </c>
      <c r="J93" s="5">
        <f t="shared" si="10"/>
        <v>75000</v>
      </c>
      <c r="K93" s="5">
        <v>25</v>
      </c>
      <c r="L93" s="5">
        <f t="shared" si="11"/>
        <v>15000</v>
      </c>
      <c r="M93" s="5">
        <v>1</v>
      </c>
      <c r="N93" s="6">
        <f>400000-L93-H93-F93-D93-Table3[[#This Row],[Column4]]</f>
        <v>290000</v>
      </c>
    </row>
    <row r="94" spans="1:14" x14ac:dyDescent="0.45">
      <c r="A94" s="10">
        <f t="shared" si="6"/>
        <v>93</v>
      </c>
      <c r="B94" s="5" t="s">
        <v>160</v>
      </c>
      <c r="C94" s="5" t="s">
        <v>24</v>
      </c>
      <c r="D94" s="5">
        <f t="shared" si="7"/>
        <v>0</v>
      </c>
      <c r="E94" s="5">
        <v>0</v>
      </c>
      <c r="F94" s="5">
        <f t="shared" si="8"/>
        <v>0</v>
      </c>
      <c r="G94" s="5">
        <v>0</v>
      </c>
      <c r="H94" s="5">
        <f t="shared" si="9"/>
        <v>0</v>
      </c>
      <c r="I94" s="5">
        <v>0</v>
      </c>
      <c r="J94" s="5">
        <f t="shared" si="10"/>
        <v>57000</v>
      </c>
      <c r="K94" s="5">
        <v>19</v>
      </c>
      <c r="L94" s="5">
        <f t="shared" si="11"/>
        <v>15000</v>
      </c>
      <c r="M94" s="5">
        <v>1</v>
      </c>
      <c r="N94" s="6">
        <f>400000-L94-H94-F94-D94-Table3[[#This Row],[Column4]]</f>
        <v>328000</v>
      </c>
    </row>
    <row r="95" spans="1:14" x14ac:dyDescent="0.45">
      <c r="A95" s="10">
        <f t="shared" si="6"/>
        <v>94</v>
      </c>
      <c r="B95" s="5" t="s">
        <v>161</v>
      </c>
      <c r="C95" s="5" t="s">
        <v>24</v>
      </c>
      <c r="D95" s="5">
        <f t="shared" si="7"/>
        <v>0</v>
      </c>
      <c r="E95" s="5">
        <v>0</v>
      </c>
      <c r="F95" s="5">
        <f t="shared" si="8"/>
        <v>0</v>
      </c>
      <c r="G95" s="5">
        <v>0</v>
      </c>
      <c r="H95" s="5">
        <f t="shared" si="9"/>
        <v>30000</v>
      </c>
      <c r="I95" s="5">
        <v>1</v>
      </c>
      <c r="J95" s="5">
        <f t="shared" si="10"/>
        <v>60000</v>
      </c>
      <c r="K95" s="5">
        <v>20</v>
      </c>
      <c r="L95" s="5">
        <f t="shared" si="11"/>
        <v>0</v>
      </c>
      <c r="M95" s="5">
        <v>0</v>
      </c>
      <c r="N95" s="6">
        <f>400000-L95-H95-F95-D95-Table3[[#This Row],[Column4]]</f>
        <v>310000</v>
      </c>
    </row>
    <row r="96" spans="1:14" x14ac:dyDescent="0.45">
      <c r="A96" s="10">
        <f t="shared" si="6"/>
        <v>95</v>
      </c>
      <c r="B96" s="5" t="s">
        <v>162</v>
      </c>
      <c r="C96" s="5" t="s">
        <v>24</v>
      </c>
      <c r="D96" s="5">
        <f t="shared" si="7"/>
        <v>40000</v>
      </c>
      <c r="E96" s="5">
        <v>2</v>
      </c>
      <c r="F96" s="5">
        <f t="shared" si="8"/>
        <v>60000</v>
      </c>
      <c r="G96" s="5">
        <v>2</v>
      </c>
      <c r="H96" s="5">
        <f t="shared" si="9"/>
        <v>0</v>
      </c>
      <c r="I96" s="5">
        <v>0</v>
      </c>
      <c r="J96" s="5">
        <f t="shared" si="10"/>
        <v>27000</v>
      </c>
      <c r="K96" s="5">
        <v>9</v>
      </c>
      <c r="L96" s="5">
        <f t="shared" si="11"/>
        <v>15000</v>
      </c>
      <c r="M96" s="5">
        <v>1</v>
      </c>
      <c r="N96" s="6">
        <f>400000-L96-H96-F96-D96-Table3[[#This Row],[Column4]]</f>
        <v>258000</v>
      </c>
    </row>
    <row r="97" spans="1:14" x14ac:dyDescent="0.45">
      <c r="A97" s="10">
        <f t="shared" si="6"/>
        <v>96</v>
      </c>
      <c r="B97" s="5" t="s">
        <v>163</v>
      </c>
      <c r="C97" s="5" t="s">
        <v>24</v>
      </c>
      <c r="D97" s="5">
        <f t="shared" si="7"/>
        <v>20000</v>
      </c>
      <c r="E97" s="5">
        <v>1</v>
      </c>
      <c r="F97" s="5">
        <f t="shared" si="8"/>
        <v>30000</v>
      </c>
      <c r="G97" s="5">
        <v>1</v>
      </c>
      <c r="H97" s="5">
        <f t="shared" si="9"/>
        <v>30000</v>
      </c>
      <c r="I97" s="5">
        <v>1</v>
      </c>
      <c r="J97" s="5">
        <f t="shared" si="10"/>
        <v>9000</v>
      </c>
      <c r="K97" s="5">
        <v>3</v>
      </c>
      <c r="L97" s="5">
        <f t="shared" si="11"/>
        <v>0</v>
      </c>
      <c r="M97" s="5">
        <v>0</v>
      </c>
      <c r="N97" s="6">
        <f>400000-L97-H97-F97-D97-Table3[[#This Row],[Column4]]</f>
        <v>311000</v>
      </c>
    </row>
    <row r="98" spans="1:14" x14ac:dyDescent="0.45">
      <c r="A98" s="10">
        <f t="shared" si="6"/>
        <v>97</v>
      </c>
      <c r="B98" s="5" t="s">
        <v>164</v>
      </c>
      <c r="C98" s="5" t="s">
        <v>24</v>
      </c>
      <c r="D98" s="5">
        <f t="shared" si="7"/>
        <v>40000</v>
      </c>
      <c r="E98" s="5">
        <v>2</v>
      </c>
      <c r="F98" s="5">
        <f t="shared" si="8"/>
        <v>30000</v>
      </c>
      <c r="G98" s="5">
        <v>1</v>
      </c>
      <c r="H98" s="5">
        <f t="shared" si="9"/>
        <v>60000</v>
      </c>
      <c r="I98" s="5">
        <v>2</v>
      </c>
      <c r="J98" s="5">
        <f t="shared" si="10"/>
        <v>18000</v>
      </c>
      <c r="K98" s="5">
        <v>6</v>
      </c>
      <c r="L98" s="5">
        <f t="shared" si="11"/>
        <v>0</v>
      </c>
      <c r="M98" s="5">
        <v>0</v>
      </c>
      <c r="N98" s="6">
        <f>400000-L98-H98-F98-D98-Table3[[#This Row],[Column4]]</f>
        <v>252000</v>
      </c>
    </row>
    <row r="99" spans="1:14" x14ac:dyDescent="0.45">
      <c r="A99" s="10">
        <f t="shared" si="6"/>
        <v>98</v>
      </c>
      <c r="B99" s="5" t="s">
        <v>165</v>
      </c>
      <c r="C99" s="5" t="s">
        <v>24</v>
      </c>
      <c r="D99" s="5">
        <f t="shared" si="7"/>
        <v>0</v>
      </c>
      <c r="E99" s="5">
        <v>0</v>
      </c>
      <c r="F99" s="5">
        <f t="shared" si="8"/>
        <v>0</v>
      </c>
      <c r="G99" s="5">
        <v>0</v>
      </c>
      <c r="H99" s="5">
        <f t="shared" si="9"/>
        <v>0</v>
      </c>
      <c r="I99" s="5">
        <v>0</v>
      </c>
      <c r="J99" s="5">
        <f t="shared" si="10"/>
        <v>27000</v>
      </c>
      <c r="K99" s="5">
        <v>9</v>
      </c>
      <c r="L99" s="5">
        <f t="shared" si="11"/>
        <v>45000</v>
      </c>
      <c r="M99" s="5">
        <v>3</v>
      </c>
      <c r="N99" s="6">
        <f>400000-L99-H99-F99-D99-Table3[[#This Row],[Column4]]</f>
        <v>328000</v>
      </c>
    </row>
    <row r="100" spans="1:14" x14ac:dyDescent="0.45">
      <c r="A100" s="10">
        <f t="shared" si="6"/>
        <v>99</v>
      </c>
      <c r="B100" s="5" t="s">
        <v>166</v>
      </c>
      <c r="C100" s="5" t="s">
        <v>24</v>
      </c>
      <c r="D100" s="5">
        <f t="shared" si="7"/>
        <v>40000</v>
      </c>
      <c r="E100" s="5">
        <v>2</v>
      </c>
      <c r="F100" s="5">
        <f t="shared" si="8"/>
        <v>30000</v>
      </c>
      <c r="G100" s="5">
        <v>1</v>
      </c>
      <c r="H100" s="5">
        <f t="shared" si="9"/>
        <v>0</v>
      </c>
      <c r="I100" s="5">
        <v>0</v>
      </c>
      <c r="J100" s="5">
        <f t="shared" si="10"/>
        <v>27000</v>
      </c>
      <c r="K100" s="5">
        <v>9</v>
      </c>
      <c r="L100" s="5">
        <f t="shared" si="11"/>
        <v>15000</v>
      </c>
      <c r="M100" s="5">
        <v>1</v>
      </c>
      <c r="N100" s="6">
        <f>400000-L100-H100-F100-D100-Table3[[#This Row],[Column4]]</f>
        <v>288000</v>
      </c>
    </row>
    <row r="101" spans="1:14" x14ac:dyDescent="0.45">
      <c r="A101" s="14">
        <f t="shared" si="6"/>
        <v>100</v>
      </c>
      <c r="B101" s="5" t="s">
        <v>167</v>
      </c>
      <c r="C101" s="5" t="s">
        <v>24</v>
      </c>
      <c r="D101" s="15">
        <f t="shared" si="7"/>
        <v>0</v>
      </c>
      <c r="E101" s="5">
        <v>0</v>
      </c>
      <c r="F101" s="15">
        <f t="shared" si="8"/>
        <v>0</v>
      </c>
      <c r="G101" s="5">
        <v>0</v>
      </c>
      <c r="H101" s="15">
        <f t="shared" si="9"/>
        <v>0</v>
      </c>
      <c r="I101" s="5">
        <v>0</v>
      </c>
      <c r="J101" s="15">
        <f t="shared" si="10"/>
        <v>57000</v>
      </c>
      <c r="K101" s="5">
        <v>19</v>
      </c>
      <c r="L101" s="15">
        <f t="shared" si="11"/>
        <v>15000</v>
      </c>
      <c r="M101" s="5">
        <v>1</v>
      </c>
      <c r="N101" s="16">
        <f>400000-L101-H101-F101-D101-Table3[[#This Row],[Column4]]</f>
        <v>328000</v>
      </c>
    </row>
    <row r="102" spans="1:14" x14ac:dyDescent="0.45">
      <c r="A102" s="10">
        <f t="shared" ref="A102:A121" si="12">ROW(A102)-1</f>
        <v>101</v>
      </c>
      <c r="B102" s="5" t="s">
        <v>168</v>
      </c>
      <c r="C102" s="5" t="s">
        <v>24</v>
      </c>
      <c r="D102" s="5">
        <f t="shared" ref="D102:D121" si="13">E102*20000</f>
        <v>20000</v>
      </c>
      <c r="E102" s="5">
        <v>1</v>
      </c>
      <c r="F102" s="5">
        <f t="shared" ref="F102:F121" si="14">G102*30000</f>
        <v>30000</v>
      </c>
      <c r="G102" s="5">
        <v>1</v>
      </c>
      <c r="H102" s="5">
        <f t="shared" ref="H102:H121" si="15">I102*30000</f>
        <v>0</v>
      </c>
      <c r="I102" s="5">
        <v>0</v>
      </c>
      <c r="J102" s="5">
        <f t="shared" ref="J102:J121" si="16">K102*3000</f>
        <v>45000</v>
      </c>
      <c r="K102" s="5">
        <v>15</v>
      </c>
      <c r="L102" s="5">
        <f t="shared" ref="L102:L121" si="17">M102*15000</f>
        <v>0</v>
      </c>
      <c r="M102" s="5">
        <v>0</v>
      </c>
      <c r="N102" s="6">
        <f>400000-L102-H102-F102-D102-Table3[[#This Row],[Column4]]</f>
        <v>305000</v>
      </c>
    </row>
    <row r="103" spans="1:14" x14ac:dyDescent="0.45">
      <c r="A103" s="10">
        <f t="shared" si="12"/>
        <v>102</v>
      </c>
      <c r="B103" s="5" t="s">
        <v>169</v>
      </c>
      <c r="C103" s="5" t="s">
        <v>24</v>
      </c>
      <c r="D103" s="5">
        <f t="shared" si="13"/>
        <v>20000</v>
      </c>
      <c r="E103" s="5">
        <v>1</v>
      </c>
      <c r="F103" s="5">
        <f t="shared" si="14"/>
        <v>0</v>
      </c>
      <c r="G103" s="5">
        <v>0</v>
      </c>
      <c r="H103" s="5">
        <f t="shared" si="15"/>
        <v>0</v>
      </c>
      <c r="I103" s="5">
        <v>0</v>
      </c>
      <c r="J103" s="5">
        <f t="shared" si="16"/>
        <v>57000</v>
      </c>
      <c r="K103" s="5">
        <v>19</v>
      </c>
      <c r="L103" s="5">
        <f t="shared" si="17"/>
        <v>0</v>
      </c>
      <c r="M103" s="5">
        <v>0</v>
      </c>
      <c r="N103" s="6">
        <f>400000-L103-H103-F103-D103-Table3[[#This Row],[Column4]]</f>
        <v>323000</v>
      </c>
    </row>
    <row r="104" spans="1:14" x14ac:dyDescent="0.45">
      <c r="A104" s="10">
        <f t="shared" si="12"/>
        <v>103</v>
      </c>
      <c r="B104" s="5" t="s">
        <v>170</v>
      </c>
      <c r="C104" s="5" t="s">
        <v>24</v>
      </c>
      <c r="D104" s="5">
        <f t="shared" si="13"/>
        <v>20000</v>
      </c>
      <c r="E104" s="5">
        <v>1</v>
      </c>
      <c r="F104" s="5">
        <f t="shared" si="14"/>
        <v>0</v>
      </c>
      <c r="G104" s="5">
        <v>0</v>
      </c>
      <c r="H104" s="5">
        <f t="shared" si="15"/>
        <v>0</v>
      </c>
      <c r="I104" s="5">
        <v>0</v>
      </c>
      <c r="J104" s="5">
        <f t="shared" si="16"/>
        <v>21000</v>
      </c>
      <c r="K104" s="5">
        <v>7</v>
      </c>
      <c r="L104" s="5">
        <f t="shared" si="17"/>
        <v>0</v>
      </c>
      <c r="M104" s="5">
        <v>0</v>
      </c>
      <c r="N104" s="6">
        <f>400000-L104-H104-F104-D104-Table3[[#This Row],[Column4]]</f>
        <v>359000</v>
      </c>
    </row>
    <row r="105" spans="1:14" x14ac:dyDescent="0.45">
      <c r="A105" s="10">
        <f t="shared" si="12"/>
        <v>104</v>
      </c>
      <c r="B105" s="5" t="s">
        <v>171</v>
      </c>
      <c r="C105" s="5" t="s">
        <v>24</v>
      </c>
      <c r="D105" s="5">
        <f t="shared" si="13"/>
        <v>100000</v>
      </c>
      <c r="E105" s="5">
        <v>5</v>
      </c>
      <c r="F105" s="5">
        <f t="shared" si="14"/>
        <v>90000</v>
      </c>
      <c r="G105" s="5">
        <v>3</v>
      </c>
      <c r="H105" s="5">
        <f t="shared" si="15"/>
        <v>0</v>
      </c>
      <c r="I105" s="5">
        <v>0</v>
      </c>
      <c r="J105" s="5">
        <f t="shared" si="16"/>
        <v>114000</v>
      </c>
      <c r="K105" s="5">
        <v>38</v>
      </c>
      <c r="L105" s="5">
        <f t="shared" si="17"/>
        <v>15000</v>
      </c>
      <c r="M105" s="5">
        <v>1</v>
      </c>
      <c r="N105" s="6">
        <f>400000-L105-H105-F105-D105-Table3[[#This Row],[Column4]]</f>
        <v>81000</v>
      </c>
    </row>
    <row r="106" spans="1:14" x14ac:dyDescent="0.45">
      <c r="A106" s="10">
        <f t="shared" si="12"/>
        <v>105</v>
      </c>
      <c r="B106" s="5" t="s">
        <v>172</v>
      </c>
      <c r="C106" s="5" t="s">
        <v>24</v>
      </c>
      <c r="D106" s="5">
        <f t="shared" si="13"/>
        <v>0</v>
      </c>
      <c r="E106" s="5">
        <v>0</v>
      </c>
      <c r="F106" s="5">
        <f t="shared" si="14"/>
        <v>0</v>
      </c>
      <c r="G106" s="5">
        <v>0</v>
      </c>
      <c r="H106" s="5">
        <f t="shared" si="15"/>
        <v>0</v>
      </c>
      <c r="I106" s="5">
        <v>0</v>
      </c>
      <c r="J106" s="5">
        <f t="shared" si="16"/>
        <v>216000</v>
      </c>
      <c r="K106" s="5">
        <v>72</v>
      </c>
      <c r="L106" s="5">
        <f t="shared" si="17"/>
        <v>0</v>
      </c>
      <c r="M106" s="5">
        <v>0</v>
      </c>
      <c r="N106" s="6">
        <f>400000-L106-H106-F106-D106-Table3[[#This Row],[Column4]]</f>
        <v>184000</v>
      </c>
    </row>
    <row r="107" spans="1:14" x14ac:dyDescent="0.45">
      <c r="A107" s="10">
        <f t="shared" si="12"/>
        <v>106</v>
      </c>
      <c r="B107" s="5" t="s">
        <v>173</v>
      </c>
      <c r="C107" s="5" t="s">
        <v>24</v>
      </c>
      <c r="D107" s="5">
        <f t="shared" si="13"/>
        <v>0</v>
      </c>
      <c r="E107" s="5">
        <v>0</v>
      </c>
      <c r="F107" s="5">
        <f t="shared" si="14"/>
        <v>0</v>
      </c>
      <c r="G107" s="5">
        <v>0</v>
      </c>
      <c r="H107" s="5">
        <f t="shared" si="15"/>
        <v>30000</v>
      </c>
      <c r="I107" s="5">
        <v>1</v>
      </c>
      <c r="J107" s="5">
        <f t="shared" si="16"/>
        <v>33000</v>
      </c>
      <c r="K107" s="5">
        <v>11</v>
      </c>
      <c r="L107" s="5">
        <f t="shared" si="17"/>
        <v>0</v>
      </c>
      <c r="M107" s="5">
        <v>0</v>
      </c>
      <c r="N107" s="6">
        <f>400000-L107-H107-F107-D107-Table3[[#This Row],[Column4]]</f>
        <v>337000</v>
      </c>
    </row>
    <row r="108" spans="1:14" x14ac:dyDescent="0.45">
      <c r="A108" s="10">
        <f t="shared" si="12"/>
        <v>107</v>
      </c>
      <c r="B108" s="5" t="s">
        <v>174</v>
      </c>
      <c r="C108" s="5" t="s">
        <v>24</v>
      </c>
      <c r="D108" s="5">
        <f t="shared" si="13"/>
        <v>40000</v>
      </c>
      <c r="E108" s="5">
        <v>2</v>
      </c>
      <c r="F108" s="5">
        <f t="shared" si="14"/>
        <v>0</v>
      </c>
      <c r="G108" s="5">
        <v>0</v>
      </c>
      <c r="H108" s="5">
        <f t="shared" si="15"/>
        <v>0</v>
      </c>
      <c r="I108" s="5">
        <v>0</v>
      </c>
      <c r="J108" s="5">
        <f t="shared" si="16"/>
        <v>48000</v>
      </c>
      <c r="K108" s="5">
        <v>16</v>
      </c>
      <c r="L108" s="5">
        <f t="shared" si="17"/>
        <v>0</v>
      </c>
      <c r="M108" s="5">
        <v>0</v>
      </c>
      <c r="N108" s="6">
        <f>400000-L108-H108-F108-D108-Table3[[#This Row],[Column4]]</f>
        <v>312000</v>
      </c>
    </row>
    <row r="109" spans="1:14" x14ac:dyDescent="0.45">
      <c r="A109" s="10">
        <f t="shared" si="12"/>
        <v>108</v>
      </c>
      <c r="B109" s="5" t="s">
        <v>175</v>
      </c>
      <c r="C109" s="5" t="s">
        <v>24</v>
      </c>
      <c r="D109" s="5">
        <f t="shared" si="13"/>
        <v>60000</v>
      </c>
      <c r="E109" s="5">
        <v>3</v>
      </c>
      <c r="F109" s="5">
        <f t="shared" si="14"/>
        <v>60000</v>
      </c>
      <c r="G109" s="5">
        <v>2</v>
      </c>
      <c r="H109" s="5">
        <f t="shared" si="15"/>
        <v>0</v>
      </c>
      <c r="I109" s="5">
        <v>0</v>
      </c>
      <c r="J109" s="5">
        <f t="shared" si="16"/>
        <v>3000</v>
      </c>
      <c r="K109" s="5">
        <v>1</v>
      </c>
      <c r="L109" s="5">
        <f t="shared" si="17"/>
        <v>0</v>
      </c>
      <c r="M109" s="5">
        <v>0</v>
      </c>
      <c r="N109" s="6">
        <f>400000-L109-H109-F109-D109-Table3[[#This Row],[Column4]]</f>
        <v>277000</v>
      </c>
    </row>
    <row r="110" spans="1:14" x14ac:dyDescent="0.45">
      <c r="A110" s="10">
        <f t="shared" si="12"/>
        <v>109</v>
      </c>
      <c r="B110" s="5" t="s">
        <v>176</v>
      </c>
      <c r="C110" s="5" t="s">
        <v>24</v>
      </c>
      <c r="D110" s="5">
        <f t="shared" si="13"/>
        <v>0</v>
      </c>
      <c r="E110" s="5">
        <v>0</v>
      </c>
      <c r="F110" s="5">
        <f t="shared" si="14"/>
        <v>0</v>
      </c>
      <c r="G110" s="5">
        <v>0</v>
      </c>
      <c r="H110" s="5">
        <f t="shared" si="15"/>
        <v>0</v>
      </c>
      <c r="I110" s="5">
        <v>0</v>
      </c>
      <c r="J110" s="5">
        <f t="shared" si="16"/>
        <v>21000</v>
      </c>
      <c r="K110" s="5">
        <v>7</v>
      </c>
      <c r="L110" s="5">
        <f t="shared" si="17"/>
        <v>0</v>
      </c>
      <c r="M110" s="5">
        <v>0</v>
      </c>
      <c r="N110" s="6">
        <f>400000-L110-H110-F110-D110-Table3[[#This Row],[Column4]]</f>
        <v>379000</v>
      </c>
    </row>
    <row r="111" spans="1:14" x14ac:dyDescent="0.45">
      <c r="A111" s="10">
        <f t="shared" si="12"/>
        <v>110</v>
      </c>
      <c r="B111" s="5" t="s">
        <v>177</v>
      </c>
      <c r="C111" s="5" t="s">
        <v>24</v>
      </c>
      <c r="D111" s="5">
        <f t="shared" si="13"/>
        <v>0</v>
      </c>
      <c r="E111" s="5">
        <v>0</v>
      </c>
      <c r="F111" s="5">
        <f t="shared" si="14"/>
        <v>0</v>
      </c>
      <c r="G111" s="5">
        <v>0</v>
      </c>
      <c r="H111" s="5">
        <f t="shared" si="15"/>
        <v>0</v>
      </c>
      <c r="I111" s="5">
        <v>0</v>
      </c>
      <c r="J111" s="5">
        <f t="shared" si="16"/>
        <v>27000</v>
      </c>
      <c r="K111" s="5">
        <v>9</v>
      </c>
      <c r="L111" s="5">
        <f t="shared" si="17"/>
        <v>0</v>
      </c>
      <c r="M111" s="5">
        <v>0</v>
      </c>
      <c r="N111" s="6">
        <f>400000-L111-H111-F111-D111-Table3[[#This Row],[Column4]]</f>
        <v>373000</v>
      </c>
    </row>
    <row r="112" spans="1:14" x14ac:dyDescent="0.45">
      <c r="A112" s="10">
        <f t="shared" si="12"/>
        <v>111</v>
      </c>
      <c r="B112" s="5" t="s">
        <v>178</v>
      </c>
      <c r="C112" s="5" t="s">
        <v>24</v>
      </c>
      <c r="D112" s="5">
        <f t="shared" si="13"/>
        <v>0</v>
      </c>
      <c r="E112" s="5">
        <v>0</v>
      </c>
      <c r="F112" s="5">
        <f t="shared" si="14"/>
        <v>30000</v>
      </c>
      <c r="G112" s="5">
        <v>1</v>
      </c>
      <c r="H112" s="5">
        <f t="shared" si="15"/>
        <v>30000</v>
      </c>
      <c r="I112" s="5">
        <v>1</v>
      </c>
      <c r="J112" s="5">
        <f t="shared" si="16"/>
        <v>192000</v>
      </c>
      <c r="K112" s="5">
        <v>64</v>
      </c>
      <c r="L112" s="5">
        <f t="shared" si="17"/>
        <v>0</v>
      </c>
      <c r="M112" s="5">
        <v>0</v>
      </c>
      <c r="N112" s="6">
        <f>400000-L112-H112-F112-D112-Table3[[#This Row],[Column4]]</f>
        <v>148000</v>
      </c>
    </row>
    <row r="113" spans="1:14" x14ac:dyDescent="0.45">
      <c r="A113" s="10">
        <f t="shared" si="12"/>
        <v>112</v>
      </c>
      <c r="B113" s="5" t="s">
        <v>179</v>
      </c>
      <c r="C113" s="5" t="s">
        <v>24</v>
      </c>
      <c r="D113" s="5">
        <f t="shared" si="13"/>
        <v>0</v>
      </c>
      <c r="E113" s="5">
        <v>0</v>
      </c>
      <c r="F113" s="5">
        <f t="shared" si="14"/>
        <v>0</v>
      </c>
      <c r="G113" s="5">
        <v>0</v>
      </c>
      <c r="H113" s="5">
        <f t="shared" si="15"/>
        <v>0</v>
      </c>
      <c r="I113" s="5">
        <v>0</v>
      </c>
      <c r="J113" s="5">
        <f t="shared" si="16"/>
        <v>57000</v>
      </c>
      <c r="K113" s="5">
        <v>19</v>
      </c>
      <c r="L113" s="5">
        <f t="shared" si="17"/>
        <v>0</v>
      </c>
      <c r="M113" s="5">
        <v>0</v>
      </c>
      <c r="N113" s="6">
        <f>400000-L113-H113-F113-D113-Table3[[#This Row],[Column4]]</f>
        <v>343000</v>
      </c>
    </row>
    <row r="114" spans="1:14" x14ac:dyDescent="0.45">
      <c r="A114" s="10">
        <f t="shared" si="12"/>
        <v>113</v>
      </c>
      <c r="B114" s="5" t="s">
        <v>180</v>
      </c>
      <c r="C114" s="5" t="s">
        <v>24</v>
      </c>
      <c r="D114" s="5">
        <f t="shared" si="13"/>
        <v>0</v>
      </c>
      <c r="E114" s="5">
        <v>0</v>
      </c>
      <c r="F114" s="5">
        <f t="shared" si="14"/>
        <v>0</v>
      </c>
      <c r="G114" s="5">
        <v>0</v>
      </c>
      <c r="H114" s="5">
        <f t="shared" si="15"/>
        <v>0</v>
      </c>
      <c r="I114" s="5">
        <v>0</v>
      </c>
      <c r="J114" s="5">
        <f t="shared" si="16"/>
        <v>54000</v>
      </c>
      <c r="K114" s="5">
        <v>18</v>
      </c>
      <c r="L114" s="5">
        <f t="shared" si="17"/>
        <v>0</v>
      </c>
      <c r="M114" s="5">
        <v>0</v>
      </c>
      <c r="N114" s="6">
        <f>400000-L114-H114-F114-D114-Table3[[#This Row],[Column4]]</f>
        <v>346000</v>
      </c>
    </row>
    <row r="115" spans="1:14" x14ac:dyDescent="0.45">
      <c r="A115" s="10">
        <f t="shared" si="12"/>
        <v>114</v>
      </c>
      <c r="B115" s="5" t="s">
        <v>181</v>
      </c>
      <c r="C115" s="5" t="s">
        <v>24</v>
      </c>
      <c r="D115" s="5">
        <f t="shared" si="13"/>
        <v>0</v>
      </c>
      <c r="E115" s="5">
        <v>0</v>
      </c>
      <c r="F115" s="5">
        <f t="shared" si="14"/>
        <v>30000</v>
      </c>
      <c r="G115" s="5">
        <v>1</v>
      </c>
      <c r="H115" s="5">
        <f t="shared" si="15"/>
        <v>0</v>
      </c>
      <c r="I115" s="5">
        <v>0</v>
      </c>
      <c r="J115" s="5">
        <f t="shared" si="16"/>
        <v>15000</v>
      </c>
      <c r="K115" s="5">
        <v>5</v>
      </c>
      <c r="L115" s="5">
        <f t="shared" si="17"/>
        <v>0</v>
      </c>
      <c r="M115" s="5">
        <v>0</v>
      </c>
      <c r="N115" s="6">
        <f>400000-L115-H115-F115-D115-Table3[[#This Row],[Column4]]</f>
        <v>355000</v>
      </c>
    </row>
    <row r="116" spans="1:14" x14ac:dyDescent="0.45">
      <c r="A116" s="10">
        <f t="shared" si="12"/>
        <v>115</v>
      </c>
      <c r="B116" s="5" t="s">
        <v>182</v>
      </c>
      <c r="C116" s="5" t="s">
        <v>24</v>
      </c>
      <c r="D116" s="5">
        <f t="shared" si="13"/>
        <v>40000</v>
      </c>
      <c r="E116" s="5">
        <v>2</v>
      </c>
      <c r="F116" s="5">
        <f t="shared" si="14"/>
        <v>0</v>
      </c>
      <c r="G116" s="5">
        <v>0</v>
      </c>
      <c r="H116" s="5">
        <f t="shared" si="15"/>
        <v>0</v>
      </c>
      <c r="I116" s="5">
        <v>0</v>
      </c>
      <c r="J116" s="5">
        <f t="shared" si="16"/>
        <v>12000</v>
      </c>
      <c r="K116" s="5">
        <v>4</v>
      </c>
      <c r="L116" s="5">
        <f t="shared" si="17"/>
        <v>0</v>
      </c>
      <c r="M116" s="5">
        <v>0</v>
      </c>
      <c r="N116" s="6">
        <f>400000-L116-H116-F116-D116-Table3[[#This Row],[Column4]]</f>
        <v>348000</v>
      </c>
    </row>
    <row r="117" spans="1:14" x14ac:dyDescent="0.45">
      <c r="A117" s="10">
        <f t="shared" si="12"/>
        <v>116</v>
      </c>
      <c r="B117" s="5" t="s">
        <v>183</v>
      </c>
      <c r="C117" s="5" t="s">
        <v>24</v>
      </c>
      <c r="D117" s="5">
        <f t="shared" si="13"/>
        <v>20000</v>
      </c>
      <c r="E117" s="5">
        <v>1</v>
      </c>
      <c r="F117" s="5">
        <f t="shared" si="14"/>
        <v>30000</v>
      </c>
      <c r="G117" s="5">
        <v>1</v>
      </c>
      <c r="H117" s="5">
        <f t="shared" si="15"/>
        <v>0</v>
      </c>
      <c r="I117" s="5">
        <v>0</v>
      </c>
      <c r="J117" s="5">
        <f t="shared" si="16"/>
        <v>165000</v>
      </c>
      <c r="K117" s="5">
        <v>55</v>
      </c>
      <c r="L117" s="5">
        <f t="shared" si="17"/>
        <v>0</v>
      </c>
      <c r="M117" s="5">
        <v>0</v>
      </c>
      <c r="N117" s="6">
        <f>400000-L117-H117-F117-D117-Table3[[#This Row],[Column4]]</f>
        <v>185000</v>
      </c>
    </row>
    <row r="118" spans="1:14" x14ac:dyDescent="0.45">
      <c r="A118" s="10">
        <f t="shared" si="12"/>
        <v>117</v>
      </c>
      <c r="B118" s="5" t="s">
        <v>184</v>
      </c>
      <c r="C118" s="5" t="s">
        <v>24</v>
      </c>
      <c r="D118" s="5">
        <f t="shared" si="13"/>
        <v>20000</v>
      </c>
      <c r="E118" s="5">
        <v>1</v>
      </c>
      <c r="F118" s="5">
        <f t="shared" si="14"/>
        <v>30000</v>
      </c>
      <c r="G118" s="5">
        <v>1</v>
      </c>
      <c r="H118" s="5">
        <f t="shared" si="15"/>
        <v>0</v>
      </c>
      <c r="I118" s="5">
        <v>0</v>
      </c>
      <c r="J118" s="5">
        <f t="shared" si="16"/>
        <v>30000</v>
      </c>
      <c r="K118" s="5">
        <v>10</v>
      </c>
      <c r="L118" s="5">
        <f t="shared" si="17"/>
        <v>0</v>
      </c>
      <c r="M118" s="5">
        <v>0</v>
      </c>
      <c r="N118" s="6">
        <f>400000-L118-H118-F118-D118-Table3[[#This Row],[Column4]]</f>
        <v>320000</v>
      </c>
    </row>
    <row r="119" spans="1:14" x14ac:dyDescent="0.45">
      <c r="A119" s="10">
        <f t="shared" si="12"/>
        <v>118</v>
      </c>
      <c r="B119" s="5" t="s">
        <v>185</v>
      </c>
      <c r="C119" s="5" t="s">
        <v>24</v>
      </c>
      <c r="D119" s="5">
        <f t="shared" si="13"/>
        <v>20000</v>
      </c>
      <c r="E119" s="5">
        <v>1</v>
      </c>
      <c r="F119" s="5">
        <f t="shared" si="14"/>
        <v>30000</v>
      </c>
      <c r="G119" s="5">
        <v>1</v>
      </c>
      <c r="H119" s="5">
        <f t="shared" si="15"/>
        <v>0</v>
      </c>
      <c r="I119" s="5">
        <v>0</v>
      </c>
      <c r="J119" s="5">
        <f t="shared" si="16"/>
        <v>54000</v>
      </c>
      <c r="K119" s="5">
        <v>18</v>
      </c>
      <c r="L119" s="5">
        <f t="shared" si="17"/>
        <v>0</v>
      </c>
      <c r="M119" s="5">
        <v>0</v>
      </c>
      <c r="N119" s="6">
        <f>400000-L119-H119-F119-D119-Table3[[#This Row],[Column4]]</f>
        <v>296000</v>
      </c>
    </row>
    <row r="120" spans="1:14" x14ac:dyDescent="0.45">
      <c r="A120" s="10">
        <f t="shared" si="12"/>
        <v>119</v>
      </c>
      <c r="B120" s="5" t="s">
        <v>186</v>
      </c>
      <c r="C120" s="5" t="s">
        <v>24</v>
      </c>
      <c r="D120" s="5">
        <f t="shared" si="13"/>
        <v>20000</v>
      </c>
      <c r="E120" s="5">
        <v>1</v>
      </c>
      <c r="F120" s="5">
        <f t="shared" si="14"/>
        <v>0</v>
      </c>
      <c r="G120" s="5">
        <v>0</v>
      </c>
      <c r="H120" s="5">
        <f t="shared" si="15"/>
        <v>0</v>
      </c>
      <c r="I120" s="5">
        <v>0</v>
      </c>
      <c r="J120" s="5">
        <f t="shared" si="16"/>
        <v>27000</v>
      </c>
      <c r="K120" s="5">
        <v>9</v>
      </c>
      <c r="L120" s="5">
        <f t="shared" si="17"/>
        <v>0</v>
      </c>
      <c r="M120" s="5">
        <v>0</v>
      </c>
      <c r="N120" s="6">
        <f>400000-L120-H120-F120-D120-Table3[[#This Row],[Column4]]</f>
        <v>353000</v>
      </c>
    </row>
    <row r="121" spans="1:14" x14ac:dyDescent="0.45">
      <c r="A121" s="10">
        <f t="shared" si="12"/>
        <v>120</v>
      </c>
      <c r="B121" s="5" t="s">
        <v>187</v>
      </c>
      <c r="C121" s="5" t="s">
        <v>24</v>
      </c>
      <c r="D121" s="5">
        <f t="shared" si="13"/>
        <v>0</v>
      </c>
      <c r="E121" s="5">
        <v>0</v>
      </c>
      <c r="F121" s="5">
        <f t="shared" si="14"/>
        <v>0</v>
      </c>
      <c r="G121" s="5">
        <v>0</v>
      </c>
      <c r="H121" s="5">
        <f t="shared" si="15"/>
        <v>0</v>
      </c>
      <c r="I121" s="5">
        <v>0</v>
      </c>
      <c r="J121" s="5">
        <f t="shared" si="16"/>
        <v>42000</v>
      </c>
      <c r="K121" s="5">
        <v>14</v>
      </c>
      <c r="L121" s="5">
        <f t="shared" si="17"/>
        <v>0</v>
      </c>
      <c r="M121" s="5">
        <v>0</v>
      </c>
      <c r="N121" s="6">
        <f>400000-L121-H121-F121-D121-Table3[[#This Row],[Column4]]</f>
        <v>358000</v>
      </c>
    </row>
    <row r="122" spans="1:14" x14ac:dyDescent="0.45">
      <c r="A122" s="10">
        <f>ROW(A122)-1</f>
        <v>121</v>
      </c>
      <c r="B122" s="5" t="s">
        <v>188</v>
      </c>
      <c r="C122" s="5" t="s">
        <v>24</v>
      </c>
      <c r="D122" s="5">
        <f>E122*20000</f>
        <v>0</v>
      </c>
      <c r="E122" s="5">
        <v>0</v>
      </c>
      <c r="F122" s="5">
        <f>G122*30000</f>
        <v>30000</v>
      </c>
      <c r="G122" s="5">
        <v>1</v>
      </c>
      <c r="H122" s="5">
        <f>I122*30000</f>
        <v>0</v>
      </c>
      <c r="I122" s="5">
        <v>0</v>
      </c>
      <c r="J122" s="5">
        <f>K122*3000</f>
        <v>12000</v>
      </c>
      <c r="K122" s="5">
        <v>4</v>
      </c>
      <c r="L122" s="5">
        <f>M122*15000</f>
        <v>0</v>
      </c>
      <c r="M122" s="5">
        <v>0</v>
      </c>
      <c r="N122" s="6">
        <f>400000-L122-H122-F122-D122-Table3[[#This Row],[Column4]]</f>
        <v>358000</v>
      </c>
    </row>
    <row r="123" spans="1:14" x14ac:dyDescent="0.45">
      <c r="A123" s="10">
        <f t="shared" ref="A123:A151" si="18">ROW(A123)-1</f>
        <v>122</v>
      </c>
      <c r="B123" s="5" t="s">
        <v>189</v>
      </c>
      <c r="C123" s="5" t="s">
        <v>24</v>
      </c>
      <c r="D123" s="5">
        <f t="shared" ref="D123:D151" si="19">E123*20000</f>
        <v>20000</v>
      </c>
      <c r="E123" s="5">
        <v>1</v>
      </c>
      <c r="F123" s="5">
        <f t="shared" ref="F123:F151" si="20">G123*30000</f>
        <v>0</v>
      </c>
      <c r="G123" s="5">
        <v>0</v>
      </c>
      <c r="H123" s="5">
        <f t="shared" ref="H123:H151" si="21">I123*30000</f>
        <v>0</v>
      </c>
      <c r="I123" s="5">
        <v>0</v>
      </c>
      <c r="J123" s="5">
        <f t="shared" ref="J123:J151" si="22">K123*3000</f>
        <v>21000</v>
      </c>
      <c r="K123" s="5">
        <v>7</v>
      </c>
      <c r="L123" s="5">
        <f t="shared" ref="L123:L151" si="23">M123*15000</f>
        <v>0</v>
      </c>
      <c r="M123" s="5">
        <v>0</v>
      </c>
      <c r="N123" s="6">
        <f>400000-L123-H123-F123-D123-Table3[[#This Row],[Column4]]</f>
        <v>359000</v>
      </c>
    </row>
    <row r="124" spans="1:14" x14ac:dyDescent="0.45">
      <c r="A124" s="10">
        <f t="shared" si="18"/>
        <v>123</v>
      </c>
      <c r="B124" s="5" t="s">
        <v>190</v>
      </c>
      <c r="C124" s="5" t="s">
        <v>24</v>
      </c>
      <c r="D124" s="5">
        <f t="shared" si="19"/>
        <v>0</v>
      </c>
      <c r="E124" s="5">
        <v>0</v>
      </c>
      <c r="F124" s="5">
        <f t="shared" si="20"/>
        <v>30000</v>
      </c>
      <c r="G124" s="5">
        <v>1</v>
      </c>
      <c r="H124" s="5">
        <f t="shared" si="21"/>
        <v>0</v>
      </c>
      <c r="I124" s="5">
        <v>0</v>
      </c>
      <c r="J124" s="5">
        <f t="shared" si="22"/>
        <v>18000</v>
      </c>
      <c r="K124" s="5">
        <v>6</v>
      </c>
      <c r="L124" s="5">
        <f t="shared" si="23"/>
        <v>30000</v>
      </c>
      <c r="M124" s="5">
        <v>2</v>
      </c>
      <c r="N124" s="6">
        <f>400000-L124-H124-F124-D124-Table3[[#This Row],[Column4]]</f>
        <v>322000</v>
      </c>
    </row>
    <row r="125" spans="1:14" x14ac:dyDescent="0.45">
      <c r="A125" s="10">
        <f t="shared" si="18"/>
        <v>124</v>
      </c>
      <c r="B125" s="5" t="s">
        <v>191</v>
      </c>
      <c r="C125" s="5" t="s">
        <v>24</v>
      </c>
      <c r="D125" s="5">
        <f t="shared" si="19"/>
        <v>0</v>
      </c>
      <c r="E125" s="5">
        <v>0</v>
      </c>
      <c r="F125" s="5">
        <f t="shared" si="20"/>
        <v>0</v>
      </c>
      <c r="G125" s="5">
        <v>0</v>
      </c>
      <c r="H125" s="5">
        <f t="shared" si="21"/>
        <v>0</v>
      </c>
      <c r="I125" s="5">
        <v>0</v>
      </c>
      <c r="J125" s="5">
        <f t="shared" si="22"/>
        <v>39000</v>
      </c>
      <c r="K125" s="5">
        <v>13</v>
      </c>
      <c r="L125" s="5">
        <f t="shared" si="23"/>
        <v>0</v>
      </c>
      <c r="M125" s="5">
        <v>0</v>
      </c>
      <c r="N125" s="6">
        <f>400000-L125-H125-F125-D125-Table3[[#This Row],[Column4]]</f>
        <v>361000</v>
      </c>
    </row>
    <row r="126" spans="1:14" x14ac:dyDescent="0.45">
      <c r="A126" s="10">
        <f t="shared" si="18"/>
        <v>125</v>
      </c>
      <c r="B126" s="5" t="s">
        <v>192</v>
      </c>
      <c r="C126" s="5" t="s">
        <v>24</v>
      </c>
      <c r="D126" s="5">
        <f t="shared" si="19"/>
        <v>0</v>
      </c>
      <c r="E126" s="5">
        <v>0</v>
      </c>
      <c r="F126" s="5">
        <f t="shared" si="20"/>
        <v>0</v>
      </c>
      <c r="G126" s="5">
        <v>0</v>
      </c>
      <c r="H126" s="5">
        <f t="shared" si="21"/>
        <v>0</v>
      </c>
      <c r="I126" s="5">
        <v>0</v>
      </c>
      <c r="J126" s="5">
        <f t="shared" si="22"/>
        <v>0</v>
      </c>
      <c r="K126" s="5">
        <v>0</v>
      </c>
      <c r="L126" s="5">
        <f t="shared" si="23"/>
        <v>15000</v>
      </c>
      <c r="M126" s="5">
        <v>1</v>
      </c>
      <c r="N126" s="6">
        <f>400000-L126-H126-F126-D126-Table3[[#This Row],[Column4]]</f>
        <v>385000</v>
      </c>
    </row>
    <row r="127" spans="1:14" x14ac:dyDescent="0.45">
      <c r="A127" s="10">
        <f t="shared" si="18"/>
        <v>126</v>
      </c>
      <c r="B127" s="5" t="s">
        <v>193</v>
      </c>
      <c r="C127" s="5" t="s">
        <v>24</v>
      </c>
      <c r="D127" s="5">
        <f t="shared" si="19"/>
        <v>20000</v>
      </c>
      <c r="E127" s="5">
        <v>1</v>
      </c>
      <c r="F127" s="5">
        <f t="shared" si="20"/>
        <v>60000</v>
      </c>
      <c r="G127" s="5">
        <v>2</v>
      </c>
      <c r="H127" s="5">
        <f t="shared" si="21"/>
        <v>0</v>
      </c>
      <c r="I127" s="5">
        <v>0</v>
      </c>
      <c r="J127" s="5">
        <f t="shared" si="22"/>
        <v>24000</v>
      </c>
      <c r="K127" s="5">
        <v>8</v>
      </c>
      <c r="L127" s="5">
        <f t="shared" si="23"/>
        <v>0</v>
      </c>
      <c r="M127" s="5">
        <v>0</v>
      </c>
      <c r="N127" s="6">
        <f>400000-L127-H127-F127-D127-Table3[[#This Row],[Column4]]</f>
        <v>296000</v>
      </c>
    </row>
    <row r="128" spans="1:14" x14ac:dyDescent="0.45">
      <c r="A128" s="10">
        <f t="shared" si="18"/>
        <v>127</v>
      </c>
      <c r="B128" s="5" t="s">
        <v>194</v>
      </c>
      <c r="C128" s="5" t="s">
        <v>24</v>
      </c>
      <c r="D128" s="5">
        <f t="shared" si="19"/>
        <v>40000</v>
      </c>
      <c r="E128" s="5">
        <v>2</v>
      </c>
      <c r="F128" s="5">
        <f t="shared" si="20"/>
        <v>0</v>
      </c>
      <c r="G128" s="5">
        <v>0</v>
      </c>
      <c r="H128" s="5">
        <f t="shared" si="21"/>
        <v>0</v>
      </c>
      <c r="I128" s="5">
        <v>0</v>
      </c>
      <c r="J128" s="5">
        <f t="shared" si="22"/>
        <v>159000</v>
      </c>
      <c r="K128" s="5">
        <v>53</v>
      </c>
      <c r="L128" s="5">
        <f t="shared" si="23"/>
        <v>30000</v>
      </c>
      <c r="M128" s="5">
        <v>2</v>
      </c>
      <c r="N128" s="6">
        <f>400000-L128-H128-F128-D128-Table3[[#This Row],[Column4]]</f>
        <v>171000</v>
      </c>
    </row>
    <row r="129" spans="1:14" x14ac:dyDescent="0.45">
      <c r="A129" s="10">
        <f t="shared" si="18"/>
        <v>128</v>
      </c>
      <c r="B129" s="5" t="s">
        <v>195</v>
      </c>
      <c r="C129" s="5" t="s">
        <v>24</v>
      </c>
      <c r="D129" s="5">
        <f t="shared" si="19"/>
        <v>20000</v>
      </c>
      <c r="E129" s="5">
        <v>1</v>
      </c>
      <c r="F129" s="5">
        <f t="shared" si="20"/>
        <v>30000</v>
      </c>
      <c r="G129" s="5">
        <v>1</v>
      </c>
      <c r="H129" s="5">
        <f t="shared" si="21"/>
        <v>30000</v>
      </c>
      <c r="I129" s="5">
        <v>1</v>
      </c>
      <c r="J129" s="5">
        <f t="shared" si="22"/>
        <v>33000</v>
      </c>
      <c r="K129" s="5">
        <v>11</v>
      </c>
      <c r="L129" s="5">
        <f t="shared" si="23"/>
        <v>45000</v>
      </c>
      <c r="M129" s="5">
        <v>3</v>
      </c>
      <c r="N129" s="6">
        <f>400000-L129-H129-F129-D129-Table3[[#This Row],[Column4]]</f>
        <v>242000</v>
      </c>
    </row>
    <row r="130" spans="1:14" x14ac:dyDescent="0.45">
      <c r="A130" s="10">
        <f t="shared" si="18"/>
        <v>129</v>
      </c>
      <c r="B130" s="5" t="s">
        <v>196</v>
      </c>
      <c r="C130" s="5" t="s">
        <v>24</v>
      </c>
      <c r="D130" s="5">
        <f t="shared" si="19"/>
        <v>0</v>
      </c>
      <c r="E130" s="5">
        <v>0</v>
      </c>
      <c r="F130" s="5">
        <f t="shared" si="20"/>
        <v>0</v>
      </c>
      <c r="G130" s="5">
        <v>0</v>
      </c>
      <c r="H130" s="5">
        <f t="shared" si="21"/>
        <v>0</v>
      </c>
      <c r="I130" s="5">
        <v>0</v>
      </c>
      <c r="J130" s="5">
        <f t="shared" si="22"/>
        <v>39000</v>
      </c>
      <c r="K130" s="5">
        <v>13</v>
      </c>
      <c r="L130" s="5">
        <f t="shared" si="23"/>
        <v>0</v>
      </c>
      <c r="M130" s="5">
        <v>0</v>
      </c>
      <c r="N130" s="6">
        <f>400000-L130-H130-F130-D130-Table3[[#This Row],[Column4]]</f>
        <v>361000</v>
      </c>
    </row>
    <row r="131" spans="1:14" x14ac:dyDescent="0.45">
      <c r="A131" s="10">
        <f t="shared" si="18"/>
        <v>130</v>
      </c>
      <c r="B131" s="5" t="s">
        <v>197</v>
      </c>
      <c r="C131" s="5" t="s">
        <v>24</v>
      </c>
      <c r="D131" s="5">
        <f t="shared" si="19"/>
        <v>20000</v>
      </c>
      <c r="E131" s="5">
        <v>1</v>
      </c>
      <c r="F131" s="5">
        <f t="shared" si="20"/>
        <v>30000</v>
      </c>
      <c r="G131" s="5">
        <v>1</v>
      </c>
      <c r="H131" s="5">
        <f t="shared" si="21"/>
        <v>0</v>
      </c>
      <c r="I131" s="5">
        <v>0</v>
      </c>
      <c r="J131" s="5">
        <f t="shared" si="22"/>
        <v>0</v>
      </c>
      <c r="K131" s="5">
        <v>0</v>
      </c>
      <c r="L131" s="5">
        <f t="shared" si="23"/>
        <v>0</v>
      </c>
      <c r="M131" s="5">
        <v>0</v>
      </c>
      <c r="N131" s="6">
        <f>400000-L131-H131-F131-D131-Table3[[#This Row],[Column4]]</f>
        <v>350000</v>
      </c>
    </row>
    <row r="132" spans="1:14" x14ac:dyDescent="0.45">
      <c r="A132" s="10">
        <f t="shared" si="18"/>
        <v>131</v>
      </c>
      <c r="B132" s="5" t="s">
        <v>198</v>
      </c>
      <c r="C132" s="5" t="s">
        <v>24</v>
      </c>
      <c r="D132" s="5">
        <f t="shared" si="19"/>
        <v>0</v>
      </c>
      <c r="E132" s="5">
        <v>0</v>
      </c>
      <c r="F132" s="5">
        <f t="shared" si="20"/>
        <v>0</v>
      </c>
      <c r="G132" s="5">
        <v>0</v>
      </c>
      <c r="H132" s="5">
        <f t="shared" si="21"/>
        <v>0</v>
      </c>
      <c r="I132" s="5">
        <v>0</v>
      </c>
      <c r="J132" s="5">
        <f t="shared" si="22"/>
        <v>0</v>
      </c>
      <c r="K132" s="5">
        <v>0</v>
      </c>
      <c r="L132" s="5">
        <f t="shared" si="23"/>
        <v>0</v>
      </c>
      <c r="M132" s="5">
        <v>0</v>
      </c>
      <c r="N132" s="6">
        <f>400000-L132-H132-F132-D132-Table3[[#This Row],[Column4]]</f>
        <v>400000</v>
      </c>
    </row>
    <row r="133" spans="1:14" x14ac:dyDescent="0.45">
      <c r="A133" s="10">
        <f t="shared" si="18"/>
        <v>132</v>
      </c>
      <c r="B133" s="5" t="s">
        <v>199</v>
      </c>
      <c r="C133" s="5" t="s">
        <v>24</v>
      </c>
      <c r="D133" s="5">
        <f t="shared" si="19"/>
        <v>0</v>
      </c>
      <c r="E133" s="5">
        <v>0</v>
      </c>
      <c r="F133" s="5">
        <f t="shared" si="20"/>
        <v>0</v>
      </c>
      <c r="G133" s="5">
        <v>0</v>
      </c>
      <c r="H133" s="5">
        <f t="shared" si="21"/>
        <v>0</v>
      </c>
      <c r="I133" s="5">
        <v>0</v>
      </c>
      <c r="J133" s="5">
        <f t="shared" si="22"/>
        <v>0</v>
      </c>
      <c r="K133" s="5">
        <v>0</v>
      </c>
      <c r="L133" s="5">
        <f t="shared" si="23"/>
        <v>0</v>
      </c>
      <c r="M133" s="5">
        <v>0</v>
      </c>
      <c r="N133" s="6">
        <f>400000-L133-H133-F133-D133-Table3[[#This Row],[Column4]]</f>
        <v>400000</v>
      </c>
    </row>
    <row r="134" spans="1:14" x14ac:dyDescent="0.45">
      <c r="A134" s="10">
        <f t="shared" si="18"/>
        <v>133</v>
      </c>
      <c r="B134" s="5" t="s">
        <v>200</v>
      </c>
      <c r="C134" s="5" t="s">
        <v>24</v>
      </c>
      <c r="D134" s="5">
        <f t="shared" si="19"/>
        <v>0</v>
      </c>
      <c r="E134" s="5">
        <v>0</v>
      </c>
      <c r="F134" s="5">
        <f t="shared" si="20"/>
        <v>0</v>
      </c>
      <c r="G134" s="5">
        <v>0</v>
      </c>
      <c r="H134" s="5">
        <f t="shared" si="21"/>
        <v>0</v>
      </c>
      <c r="I134" s="5">
        <v>0</v>
      </c>
      <c r="J134" s="5">
        <f t="shared" si="22"/>
        <v>66000</v>
      </c>
      <c r="K134" s="5">
        <v>22</v>
      </c>
      <c r="L134" s="5">
        <f t="shared" si="23"/>
        <v>0</v>
      </c>
      <c r="M134" s="5">
        <v>0</v>
      </c>
      <c r="N134" s="6">
        <f>400000-L134-H134-F134-D134-Table3[[#This Row],[Column4]]</f>
        <v>334000</v>
      </c>
    </row>
    <row r="135" spans="1:14" x14ac:dyDescent="0.45">
      <c r="A135" s="10">
        <f t="shared" si="18"/>
        <v>134</v>
      </c>
      <c r="B135" s="5" t="s">
        <v>201</v>
      </c>
      <c r="C135" s="5" t="s">
        <v>24</v>
      </c>
      <c r="D135" s="5">
        <f t="shared" si="19"/>
        <v>40000</v>
      </c>
      <c r="E135" s="5">
        <v>2</v>
      </c>
      <c r="F135" s="5">
        <f t="shared" si="20"/>
        <v>30000</v>
      </c>
      <c r="G135" s="5">
        <v>1</v>
      </c>
      <c r="H135" s="5">
        <f t="shared" si="21"/>
        <v>0</v>
      </c>
      <c r="I135" s="5">
        <v>0</v>
      </c>
      <c r="J135" s="5">
        <f t="shared" si="22"/>
        <v>51000</v>
      </c>
      <c r="K135" s="5">
        <v>17</v>
      </c>
      <c r="L135" s="5">
        <f t="shared" si="23"/>
        <v>15000</v>
      </c>
      <c r="M135" s="5">
        <v>1</v>
      </c>
      <c r="N135" s="6">
        <f>400000-L135-H135-F135-D135-Table3[[#This Row],[Column4]]</f>
        <v>264000</v>
      </c>
    </row>
    <row r="136" spans="1:14" x14ac:dyDescent="0.45">
      <c r="A136" s="10">
        <f t="shared" si="18"/>
        <v>135</v>
      </c>
      <c r="B136" s="5" t="s">
        <v>202</v>
      </c>
      <c r="C136" s="5" t="s">
        <v>24</v>
      </c>
      <c r="D136" s="5">
        <f t="shared" si="19"/>
        <v>20000</v>
      </c>
      <c r="E136" s="5">
        <v>1</v>
      </c>
      <c r="F136" s="5">
        <f t="shared" si="20"/>
        <v>30000</v>
      </c>
      <c r="G136" s="5">
        <v>1</v>
      </c>
      <c r="H136" s="5">
        <f t="shared" si="21"/>
        <v>0</v>
      </c>
      <c r="I136" s="5">
        <v>0</v>
      </c>
      <c r="J136" s="5">
        <f t="shared" si="22"/>
        <v>57000</v>
      </c>
      <c r="K136" s="5">
        <v>19</v>
      </c>
      <c r="L136" s="5">
        <f t="shared" si="23"/>
        <v>0</v>
      </c>
      <c r="M136" s="5">
        <v>0</v>
      </c>
      <c r="N136" s="6">
        <f>400000-L136-H136-F136-D136-Table3[[#This Row],[Column4]]</f>
        <v>293000</v>
      </c>
    </row>
    <row r="137" spans="1:14" x14ac:dyDescent="0.45">
      <c r="A137" s="10">
        <f t="shared" si="18"/>
        <v>136</v>
      </c>
      <c r="B137" s="5" t="s">
        <v>203</v>
      </c>
      <c r="C137" s="5" t="s">
        <v>24</v>
      </c>
      <c r="D137" s="5">
        <f t="shared" si="19"/>
        <v>20000</v>
      </c>
      <c r="E137" s="5">
        <v>1</v>
      </c>
      <c r="F137" s="5">
        <f t="shared" si="20"/>
        <v>30000</v>
      </c>
      <c r="G137" s="5">
        <v>1</v>
      </c>
      <c r="H137" s="5">
        <f t="shared" si="21"/>
        <v>0</v>
      </c>
      <c r="I137" s="5">
        <v>0</v>
      </c>
      <c r="J137" s="5">
        <f t="shared" si="22"/>
        <v>60000</v>
      </c>
      <c r="K137" s="5">
        <v>20</v>
      </c>
      <c r="L137" s="5">
        <f t="shared" si="23"/>
        <v>15000</v>
      </c>
      <c r="M137" s="5">
        <v>1</v>
      </c>
      <c r="N137" s="6">
        <f>400000-L137-H137-F137-D137-Table3[[#This Row],[Column4]]</f>
        <v>275000</v>
      </c>
    </row>
    <row r="138" spans="1:14" x14ac:dyDescent="0.45">
      <c r="A138" s="10">
        <f t="shared" si="18"/>
        <v>137</v>
      </c>
      <c r="B138" s="5" t="s">
        <v>204</v>
      </c>
      <c r="C138" s="5" t="s">
        <v>24</v>
      </c>
      <c r="D138" s="5">
        <f t="shared" si="19"/>
        <v>0</v>
      </c>
      <c r="E138" s="5">
        <v>0</v>
      </c>
      <c r="F138" s="5">
        <f t="shared" si="20"/>
        <v>0</v>
      </c>
      <c r="G138" s="5">
        <v>0</v>
      </c>
      <c r="H138" s="5">
        <f t="shared" si="21"/>
        <v>0</v>
      </c>
      <c r="I138" s="5">
        <v>0</v>
      </c>
      <c r="J138" s="5">
        <f t="shared" si="22"/>
        <v>60000</v>
      </c>
      <c r="K138" s="5">
        <v>20</v>
      </c>
      <c r="L138" s="5">
        <f t="shared" si="23"/>
        <v>30000</v>
      </c>
      <c r="M138" s="5">
        <v>2</v>
      </c>
      <c r="N138" s="6">
        <f>400000-L138-H138-F138-D138-Table3[[#This Row],[Column4]]</f>
        <v>310000</v>
      </c>
    </row>
    <row r="139" spans="1:14" x14ac:dyDescent="0.45">
      <c r="A139" s="10">
        <f t="shared" si="18"/>
        <v>138</v>
      </c>
      <c r="B139" s="5" t="s">
        <v>205</v>
      </c>
      <c r="C139" s="5" t="s">
        <v>24</v>
      </c>
      <c r="D139" s="5">
        <f t="shared" si="19"/>
        <v>20000</v>
      </c>
      <c r="E139" s="5">
        <v>1</v>
      </c>
      <c r="F139" s="5">
        <f t="shared" si="20"/>
        <v>0</v>
      </c>
      <c r="G139" s="5">
        <v>0</v>
      </c>
      <c r="H139" s="5">
        <f t="shared" si="21"/>
        <v>0</v>
      </c>
      <c r="I139" s="5">
        <v>0</v>
      </c>
      <c r="J139" s="5">
        <f t="shared" si="22"/>
        <v>30000</v>
      </c>
      <c r="K139" s="5">
        <v>10</v>
      </c>
      <c r="L139" s="5">
        <f t="shared" si="23"/>
        <v>0</v>
      </c>
      <c r="M139" s="5">
        <v>0</v>
      </c>
      <c r="N139" s="6">
        <f>400000-L139-H139-F139-D139-Table3[[#This Row],[Column4]]</f>
        <v>350000</v>
      </c>
    </row>
    <row r="140" spans="1:14" x14ac:dyDescent="0.45">
      <c r="A140" s="10">
        <f t="shared" si="18"/>
        <v>139</v>
      </c>
      <c r="B140" s="5" t="s">
        <v>206</v>
      </c>
      <c r="C140" s="5" t="s">
        <v>24</v>
      </c>
      <c r="D140" s="5">
        <f t="shared" si="19"/>
        <v>0</v>
      </c>
      <c r="E140" s="5">
        <v>0</v>
      </c>
      <c r="F140" s="5">
        <f t="shared" si="20"/>
        <v>0</v>
      </c>
      <c r="G140" s="5">
        <v>0</v>
      </c>
      <c r="H140" s="5">
        <f t="shared" si="21"/>
        <v>0</v>
      </c>
      <c r="I140" s="5">
        <v>0</v>
      </c>
      <c r="J140" s="5">
        <f t="shared" si="22"/>
        <v>216000</v>
      </c>
      <c r="K140" s="5">
        <v>72</v>
      </c>
      <c r="L140" s="5">
        <f t="shared" si="23"/>
        <v>0</v>
      </c>
      <c r="M140" s="5">
        <v>0</v>
      </c>
      <c r="N140" s="6">
        <f>400000-L140-H140-F140-D140-Table3[[#This Row],[Column4]]</f>
        <v>184000</v>
      </c>
    </row>
    <row r="141" spans="1:14" x14ac:dyDescent="0.45">
      <c r="A141" s="10">
        <f t="shared" si="18"/>
        <v>140</v>
      </c>
      <c r="B141" s="5" t="s">
        <v>207</v>
      </c>
      <c r="C141" s="5" t="s">
        <v>24</v>
      </c>
      <c r="D141" s="5">
        <f t="shared" si="19"/>
        <v>0</v>
      </c>
      <c r="E141" s="5">
        <v>0</v>
      </c>
      <c r="F141" s="5">
        <f t="shared" si="20"/>
        <v>30000</v>
      </c>
      <c r="G141" s="5">
        <v>1</v>
      </c>
      <c r="H141" s="5">
        <f t="shared" si="21"/>
        <v>0</v>
      </c>
      <c r="I141" s="5">
        <v>0</v>
      </c>
      <c r="J141" s="5">
        <f t="shared" si="22"/>
        <v>90000</v>
      </c>
      <c r="K141" s="5">
        <v>30</v>
      </c>
      <c r="L141" s="5">
        <f t="shared" si="23"/>
        <v>0</v>
      </c>
      <c r="M141" s="5">
        <v>0</v>
      </c>
      <c r="N141" s="6">
        <f>400000-L141-H141-F141-D141-Table3[[#This Row],[Column4]]</f>
        <v>280000</v>
      </c>
    </row>
    <row r="142" spans="1:14" x14ac:dyDescent="0.45">
      <c r="A142" s="10">
        <f t="shared" si="18"/>
        <v>141</v>
      </c>
      <c r="B142" s="5" t="s">
        <v>208</v>
      </c>
      <c r="C142" s="5" t="s">
        <v>24</v>
      </c>
      <c r="D142" s="5">
        <f t="shared" si="19"/>
        <v>0</v>
      </c>
      <c r="E142" s="5">
        <v>0</v>
      </c>
      <c r="F142" s="5">
        <f t="shared" si="20"/>
        <v>30000</v>
      </c>
      <c r="G142" s="5">
        <v>1</v>
      </c>
      <c r="H142" s="5">
        <f t="shared" si="21"/>
        <v>0</v>
      </c>
      <c r="I142" s="5">
        <v>0</v>
      </c>
      <c r="J142" s="5">
        <f t="shared" si="22"/>
        <v>66000</v>
      </c>
      <c r="K142" s="5">
        <v>22</v>
      </c>
      <c r="L142" s="5">
        <f t="shared" si="23"/>
        <v>0</v>
      </c>
      <c r="M142" s="5">
        <v>0</v>
      </c>
      <c r="N142" s="6">
        <f>400000-L142-H142-F142-D142-Table3[[#This Row],[Column4]]</f>
        <v>304000</v>
      </c>
    </row>
    <row r="143" spans="1:14" x14ac:dyDescent="0.45">
      <c r="A143" s="10">
        <f t="shared" si="18"/>
        <v>142</v>
      </c>
      <c r="B143" s="5" t="s">
        <v>209</v>
      </c>
      <c r="C143" s="5" t="s">
        <v>24</v>
      </c>
      <c r="D143" s="5">
        <f t="shared" si="19"/>
        <v>0</v>
      </c>
      <c r="E143" s="5">
        <v>0</v>
      </c>
      <c r="F143" s="5">
        <f t="shared" si="20"/>
        <v>30000</v>
      </c>
      <c r="G143" s="5">
        <v>1</v>
      </c>
      <c r="H143" s="5">
        <f t="shared" si="21"/>
        <v>0</v>
      </c>
      <c r="I143" s="5">
        <v>0</v>
      </c>
      <c r="J143" s="5">
        <f t="shared" si="22"/>
        <v>96000</v>
      </c>
      <c r="K143" s="5">
        <v>32</v>
      </c>
      <c r="L143" s="5">
        <f t="shared" si="23"/>
        <v>15000</v>
      </c>
      <c r="M143" s="5">
        <v>1</v>
      </c>
      <c r="N143" s="6">
        <f>400000-L143-H143-F143-D143-Table3[[#This Row],[Column4]]</f>
        <v>259000</v>
      </c>
    </row>
    <row r="144" spans="1:14" x14ac:dyDescent="0.45">
      <c r="A144" s="10">
        <f t="shared" si="18"/>
        <v>143</v>
      </c>
      <c r="B144" s="5" t="s">
        <v>210</v>
      </c>
      <c r="C144" s="5" t="s">
        <v>24</v>
      </c>
      <c r="D144" s="5">
        <f t="shared" si="19"/>
        <v>0</v>
      </c>
      <c r="E144" s="5">
        <v>0</v>
      </c>
      <c r="F144" s="5">
        <f t="shared" si="20"/>
        <v>60000</v>
      </c>
      <c r="G144" s="5">
        <v>2</v>
      </c>
      <c r="H144" s="5">
        <f t="shared" si="21"/>
        <v>0</v>
      </c>
      <c r="I144" s="5">
        <v>0</v>
      </c>
      <c r="J144" s="5">
        <f t="shared" si="22"/>
        <v>90000</v>
      </c>
      <c r="K144" s="5">
        <v>30</v>
      </c>
      <c r="L144" s="5">
        <f t="shared" si="23"/>
        <v>0</v>
      </c>
      <c r="M144" s="5">
        <v>0</v>
      </c>
      <c r="N144" s="6">
        <f>400000-L144-H144-F144-D144-Table3[[#This Row],[Column4]]</f>
        <v>250000</v>
      </c>
    </row>
    <row r="145" spans="1:14" x14ac:dyDescent="0.45">
      <c r="A145" s="10">
        <f t="shared" si="18"/>
        <v>144</v>
      </c>
      <c r="B145" s="5" t="s">
        <v>211</v>
      </c>
      <c r="C145" s="5" t="s">
        <v>24</v>
      </c>
      <c r="D145" s="5">
        <f t="shared" si="19"/>
        <v>0</v>
      </c>
      <c r="E145" s="5">
        <v>0</v>
      </c>
      <c r="F145" s="5">
        <f t="shared" si="20"/>
        <v>30000</v>
      </c>
      <c r="G145" s="5">
        <v>1</v>
      </c>
      <c r="H145" s="5">
        <f t="shared" si="21"/>
        <v>0</v>
      </c>
      <c r="I145" s="5">
        <v>0</v>
      </c>
      <c r="J145" s="5">
        <f t="shared" si="22"/>
        <v>117000</v>
      </c>
      <c r="K145" s="5">
        <v>39</v>
      </c>
      <c r="L145" s="5">
        <f t="shared" si="23"/>
        <v>0</v>
      </c>
      <c r="M145" s="5">
        <v>0</v>
      </c>
      <c r="N145" s="6">
        <f>400000-L145-H145-F145-D145-Table3[[#This Row],[Column4]]</f>
        <v>253000</v>
      </c>
    </row>
    <row r="146" spans="1:14" x14ac:dyDescent="0.45">
      <c r="A146" s="10">
        <f t="shared" si="18"/>
        <v>145</v>
      </c>
      <c r="B146" s="5" t="s">
        <v>212</v>
      </c>
      <c r="C146" s="5" t="s">
        <v>24</v>
      </c>
      <c r="D146" s="5">
        <f t="shared" si="19"/>
        <v>0</v>
      </c>
      <c r="E146" s="5">
        <v>0</v>
      </c>
      <c r="F146" s="5">
        <f t="shared" si="20"/>
        <v>30000</v>
      </c>
      <c r="G146" s="5">
        <v>1</v>
      </c>
      <c r="H146" s="5">
        <f t="shared" si="21"/>
        <v>0</v>
      </c>
      <c r="I146" s="5">
        <v>0</v>
      </c>
      <c r="J146" s="5">
        <f t="shared" si="22"/>
        <v>93000</v>
      </c>
      <c r="K146" s="5">
        <v>31</v>
      </c>
      <c r="L146" s="5">
        <f t="shared" si="23"/>
        <v>0</v>
      </c>
      <c r="M146" s="5">
        <v>0</v>
      </c>
      <c r="N146" s="6">
        <f>400000-L146-H146-F146-D146-Table3[[#This Row],[Column4]]</f>
        <v>277000</v>
      </c>
    </row>
    <row r="147" spans="1:14" x14ac:dyDescent="0.45">
      <c r="A147" s="10">
        <f t="shared" si="18"/>
        <v>146</v>
      </c>
      <c r="B147" s="5" t="s">
        <v>213</v>
      </c>
      <c r="C147" s="5" t="s">
        <v>24</v>
      </c>
      <c r="D147" s="5">
        <f t="shared" si="19"/>
        <v>0</v>
      </c>
      <c r="E147" s="5">
        <v>0</v>
      </c>
      <c r="F147" s="5">
        <f t="shared" si="20"/>
        <v>30000</v>
      </c>
      <c r="G147" s="5">
        <v>1</v>
      </c>
      <c r="H147" s="5">
        <f t="shared" si="21"/>
        <v>0</v>
      </c>
      <c r="I147" s="5">
        <v>0</v>
      </c>
      <c r="J147" s="5">
        <f t="shared" si="22"/>
        <v>66000</v>
      </c>
      <c r="K147" s="5">
        <v>22</v>
      </c>
      <c r="L147" s="5">
        <f t="shared" si="23"/>
        <v>15000</v>
      </c>
      <c r="M147" s="5">
        <v>1</v>
      </c>
      <c r="N147" s="6">
        <f>400000-L147-H147-F147-D147-Table3[[#This Row],[Column4]]</f>
        <v>289000</v>
      </c>
    </row>
    <row r="148" spans="1:14" x14ac:dyDescent="0.45">
      <c r="A148" s="10">
        <f t="shared" si="18"/>
        <v>147</v>
      </c>
      <c r="B148" s="5" t="s">
        <v>214</v>
      </c>
      <c r="C148" s="5" t="s">
        <v>24</v>
      </c>
      <c r="D148" s="5">
        <f t="shared" si="19"/>
        <v>0</v>
      </c>
      <c r="E148" s="5">
        <v>0</v>
      </c>
      <c r="F148" s="5">
        <f t="shared" si="20"/>
        <v>0</v>
      </c>
      <c r="G148" s="5">
        <v>0</v>
      </c>
      <c r="H148" s="5">
        <f t="shared" si="21"/>
        <v>0</v>
      </c>
      <c r="I148" s="5">
        <v>0</v>
      </c>
      <c r="J148" s="5">
        <f t="shared" si="22"/>
        <v>165000</v>
      </c>
      <c r="K148" s="5">
        <v>55</v>
      </c>
      <c r="L148" s="5">
        <f t="shared" si="23"/>
        <v>15000</v>
      </c>
      <c r="M148" s="5">
        <v>1</v>
      </c>
      <c r="N148" s="6">
        <f>400000-L148-H148-F148-D148-Table3[[#This Row],[Column4]]</f>
        <v>220000</v>
      </c>
    </row>
    <row r="149" spans="1:14" x14ac:dyDescent="0.45">
      <c r="A149" s="10">
        <f t="shared" si="18"/>
        <v>148</v>
      </c>
      <c r="B149" s="5" t="s">
        <v>215</v>
      </c>
      <c r="C149" s="5" t="s">
        <v>24</v>
      </c>
      <c r="D149" s="5">
        <f t="shared" si="19"/>
        <v>0</v>
      </c>
      <c r="E149" s="5">
        <v>0</v>
      </c>
      <c r="F149" s="5">
        <f t="shared" si="20"/>
        <v>30000</v>
      </c>
      <c r="G149" s="5">
        <v>1</v>
      </c>
      <c r="H149" s="5">
        <f t="shared" si="21"/>
        <v>0</v>
      </c>
      <c r="I149" s="5">
        <v>0</v>
      </c>
      <c r="J149" s="5">
        <f t="shared" si="22"/>
        <v>69000</v>
      </c>
      <c r="K149" s="5">
        <v>23</v>
      </c>
      <c r="L149" s="5">
        <f t="shared" si="23"/>
        <v>15000</v>
      </c>
      <c r="M149" s="5">
        <v>1</v>
      </c>
      <c r="N149" s="6">
        <f>400000-L149-H149-F149-D149-Table3[[#This Row],[Column4]]</f>
        <v>286000</v>
      </c>
    </row>
    <row r="150" spans="1:14" x14ac:dyDescent="0.45">
      <c r="A150" s="10">
        <f t="shared" si="18"/>
        <v>149</v>
      </c>
      <c r="B150" s="5" t="s">
        <v>216</v>
      </c>
      <c r="C150" s="5" t="s">
        <v>24</v>
      </c>
      <c r="D150" s="5">
        <f t="shared" si="19"/>
        <v>0</v>
      </c>
      <c r="E150" s="5">
        <v>0</v>
      </c>
      <c r="F150" s="5">
        <f t="shared" si="20"/>
        <v>30000</v>
      </c>
      <c r="G150" s="5">
        <v>1</v>
      </c>
      <c r="H150" s="5">
        <f t="shared" si="21"/>
        <v>30000</v>
      </c>
      <c r="I150" s="5">
        <v>1</v>
      </c>
      <c r="J150" s="5">
        <f t="shared" si="22"/>
        <v>123000</v>
      </c>
      <c r="K150" s="5">
        <v>41</v>
      </c>
      <c r="L150" s="5">
        <f t="shared" si="23"/>
        <v>15000</v>
      </c>
      <c r="M150" s="5">
        <v>1</v>
      </c>
      <c r="N150" s="6">
        <f>400000-L150-H150-F150-D150-Table3[[#This Row],[Column4]]</f>
        <v>202000</v>
      </c>
    </row>
    <row r="151" spans="1:14" x14ac:dyDescent="0.45">
      <c r="A151" s="10">
        <f t="shared" si="18"/>
        <v>150</v>
      </c>
      <c r="B151" s="5" t="s">
        <v>217</v>
      </c>
      <c r="C151" s="5" t="s">
        <v>24</v>
      </c>
      <c r="D151" s="5">
        <f t="shared" si="19"/>
        <v>0</v>
      </c>
      <c r="E151" s="5">
        <v>0</v>
      </c>
      <c r="F151" s="5">
        <f t="shared" si="20"/>
        <v>30000</v>
      </c>
      <c r="G151" s="5">
        <v>1</v>
      </c>
      <c r="H151" s="5">
        <f t="shared" si="21"/>
        <v>0</v>
      </c>
      <c r="I151" s="5">
        <v>0</v>
      </c>
      <c r="J151" s="5">
        <f t="shared" si="22"/>
        <v>72000</v>
      </c>
      <c r="K151" s="5">
        <v>24</v>
      </c>
      <c r="L151" s="5">
        <f t="shared" si="23"/>
        <v>30000</v>
      </c>
      <c r="M151" s="5">
        <v>2</v>
      </c>
      <c r="N151" s="6">
        <f>400000-L151-H151-F151-D151-Table3[[#This Row],[Column4]]</f>
        <v>268000</v>
      </c>
    </row>
    <row r="152" spans="1:14" x14ac:dyDescent="0.45">
      <c r="A152" s="10">
        <f>ROW(A152)-1</f>
        <v>151</v>
      </c>
      <c r="B152" s="5" t="s">
        <v>218</v>
      </c>
      <c r="C152" s="5" t="s">
        <v>24</v>
      </c>
      <c r="D152" s="5">
        <f>E152*20000</f>
        <v>0</v>
      </c>
      <c r="E152" s="5">
        <v>0</v>
      </c>
      <c r="F152" s="5">
        <f>G152*30000</f>
        <v>0</v>
      </c>
      <c r="G152" s="5">
        <v>0</v>
      </c>
      <c r="H152" s="5">
        <f>I152*30000</f>
        <v>0</v>
      </c>
      <c r="I152" s="5">
        <v>0</v>
      </c>
      <c r="J152" s="5">
        <f>K152*3000</f>
        <v>108000</v>
      </c>
      <c r="K152" s="5">
        <v>36</v>
      </c>
      <c r="L152" s="5">
        <f>M152*15000</f>
        <v>0</v>
      </c>
      <c r="M152" s="5">
        <v>0</v>
      </c>
      <c r="N152" s="6">
        <f>400000-L152-H152-F152-D152-Table3[[#This Row],[Column4]]</f>
        <v>292000</v>
      </c>
    </row>
    <row r="153" spans="1:14" x14ac:dyDescent="0.45">
      <c r="A153" s="10">
        <f t="shared" ref="A153:A181" si="24">ROW(A153)-1</f>
        <v>152</v>
      </c>
      <c r="B153" s="5" t="s">
        <v>219</v>
      </c>
      <c r="C153" s="5" t="s">
        <v>24</v>
      </c>
      <c r="D153" s="5">
        <f t="shared" ref="D153:D181" si="25">E153*20000</f>
        <v>40000</v>
      </c>
      <c r="E153" s="5">
        <v>2</v>
      </c>
      <c r="F153" s="5">
        <f t="shared" ref="F153:F181" si="26">G153*30000</f>
        <v>0</v>
      </c>
      <c r="G153" s="5">
        <v>0</v>
      </c>
      <c r="H153" s="5">
        <f t="shared" ref="H153:H181" si="27">I153*30000</f>
        <v>0</v>
      </c>
      <c r="I153" s="5">
        <v>0</v>
      </c>
      <c r="J153" s="5">
        <f t="shared" ref="J153:J181" si="28">K153*3000</f>
        <v>45000</v>
      </c>
      <c r="K153" s="5">
        <v>15</v>
      </c>
      <c r="L153" s="5">
        <f t="shared" ref="L153:L181" si="29">M153*15000</f>
        <v>15000</v>
      </c>
      <c r="M153" s="5">
        <v>1</v>
      </c>
      <c r="N153" s="6">
        <f>400000-L153-H153-F153-D153-Table3[[#This Row],[Column4]]</f>
        <v>300000</v>
      </c>
    </row>
    <row r="154" spans="1:14" x14ac:dyDescent="0.45">
      <c r="A154" s="10">
        <f t="shared" si="24"/>
        <v>153</v>
      </c>
      <c r="B154" s="5" t="s">
        <v>220</v>
      </c>
      <c r="C154" s="5" t="s">
        <v>24</v>
      </c>
      <c r="D154" s="5">
        <f t="shared" si="25"/>
        <v>0</v>
      </c>
      <c r="E154" s="5">
        <v>0</v>
      </c>
      <c r="F154" s="5">
        <f t="shared" si="26"/>
        <v>0</v>
      </c>
      <c r="G154" s="5">
        <v>0</v>
      </c>
      <c r="H154" s="5">
        <f t="shared" si="27"/>
        <v>30000</v>
      </c>
      <c r="I154" s="5">
        <v>1</v>
      </c>
      <c r="J154" s="5">
        <f t="shared" si="28"/>
        <v>60000</v>
      </c>
      <c r="K154" s="5">
        <v>20</v>
      </c>
      <c r="L154" s="5">
        <f t="shared" si="29"/>
        <v>15000</v>
      </c>
      <c r="M154" s="5">
        <v>1</v>
      </c>
      <c r="N154" s="6">
        <f>400000-L154-H154-F154-D154-Table3[[#This Row],[Column4]]</f>
        <v>295000</v>
      </c>
    </row>
    <row r="155" spans="1:14" x14ac:dyDescent="0.45">
      <c r="A155" s="10">
        <f t="shared" si="24"/>
        <v>154</v>
      </c>
      <c r="B155" s="5" t="s">
        <v>221</v>
      </c>
      <c r="C155" s="5" t="s">
        <v>24</v>
      </c>
      <c r="D155" s="5">
        <f t="shared" si="25"/>
        <v>20000</v>
      </c>
      <c r="E155" s="5">
        <v>1</v>
      </c>
      <c r="F155" s="5">
        <f t="shared" si="26"/>
        <v>0</v>
      </c>
      <c r="G155" s="5">
        <v>0</v>
      </c>
      <c r="H155" s="5">
        <f t="shared" si="27"/>
        <v>60000</v>
      </c>
      <c r="I155" s="5">
        <v>2</v>
      </c>
      <c r="J155" s="5">
        <f t="shared" si="28"/>
        <v>75000</v>
      </c>
      <c r="K155" s="5">
        <v>25</v>
      </c>
      <c r="L155" s="5">
        <f t="shared" si="29"/>
        <v>75000</v>
      </c>
      <c r="M155" s="5">
        <v>5</v>
      </c>
      <c r="N155" s="6">
        <f>400000-L155-H155-F155-D155-Table3[[#This Row],[Column4]]</f>
        <v>170000</v>
      </c>
    </row>
    <row r="156" spans="1:14" x14ac:dyDescent="0.45">
      <c r="A156" s="10">
        <f t="shared" si="24"/>
        <v>155</v>
      </c>
      <c r="B156" s="5" t="s">
        <v>222</v>
      </c>
      <c r="C156" s="5" t="s">
        <v>24</v>
      </c>
      <c r="D156" s="5">
        <f t="shared" si="25"/>
        <v>0</v>
      </c>
      <c r="E156" s="5">
        <v>0</v>
      </c>
      <c r="F156" s="5">
        <f t="shared" si="26"/>
        <v>0</v>
      </c>
      <c r="G156" s="5">
        <v>0</v>
      </c>
      <c r="H156" s="5">
        <f t="shared" si="27"/>
        <v>0</v>
      </c>
      <c r="I156" s="5">
        <v>0</v>
      </c>
      <c r="J156" s="5">
        <f t="shared" si="28"/>
        <v>84000</v>
      </c>
      <c r="K156" s="5">
        <v>28</v>
      </c>
      <c r="L156" s="5">
        <f t="shared" si="29"/>
        <v>15000</v>
      </c>
      <c r="M156" s="5">
        <v>1</v>
      </c>
      <c r="N156" s="6">
        <f>400000-L156-H156-F156-D156-Table3[[#This Row],[Column4]]</f>
        <v>301000</v>
      </c>
    </row>
    <row r="157" spans="1:14" x14ac:dyDescent="0.45">
      <c r="A157" s="10">
        <f t="shared" si="24"/>
        <v>156</v>
      </c>
      <c r="B157" s="5" t="s">
        <v>223</v>
      </c>
      <c r="C157" s="5" t="s">
        <v>24</v>
      </c>
      <c r="D157" s="5">
        <f t="shared" si="25"/>
        <v>40000</v>
      </c>
      <c r="E157" s="5">
        <v>2</v>
      </c>
      <c r="F157" s="5">
        <f t="shared" si="26"/>
        <v>60000</v>
      </c>
      <c r="G157" s="5">
        <v>2</v>
      </c>
      <c r="H157" s="5">
        <f t="shared" si="27"/>
        <v>0</v>
      </c>
      <c r="I157" s="5">
        <v>0</v>
      </c>
      <c r="J157" s="5">
        <f t="shared" si="28"/>
        <v>93000</v>
      </c>
      <c r="K157" s="5">
        <v>31</v>
      </c>
      <c r="L157" s="5">
        <f t="shared" si="29"/>
        <v>0</v>
      </c>
      <c r="M157" s="5">
        <v>0</v>
      </c>
      <c r="N157" s="6">
        <f>400000-L157-H157-F157-D157-Table3[[#This Row],[Column4]]</f>
        <v>207000</v>
      </c>
    </row>
    <row r="158" spans="1:14" x14ac:dyDescent="0.45">
      <c r="A158" s="10">
        <f t="shared" si="24"/>
        <v>157</v>
      </c>
      <c r="B158" s="5" t="s">
        <v>224</v>
      </c>
      <c r="C158" s="5" t="s">
        <v>24</v>
      </c>
      <c r="D158" s="5">
        <f t="shared" si="25"/>
        <v>40000</v>
      </c>
      <c r="E158" s="5">
        <v>2</v>
      </c>
      <c r="F158" s="5">
        <f t="shared" si="26"/>
        <v>90000</v>
      </c>
      <c r="G158" s="5">
        <v>3</v>
      </c>
      <c r="H158" s="5">
        <f t="shared" si="27"/>
        <v>30000</v>
      </c>
      <c r="I158" s="5">
        <v>1</v>
      </c>
      <c r="J158" s="5">
        <f t="shared" si="28"/>
        <v>108000</v>
      </c>
      <c r="K158" s="5">
        <v>36</v>
      </c>
      <c r="L158" s="5">
        <f t="shared" si="29"/>
        <v>0</v>
      </c>
      <c r="M158" s="5">
        <v>0</v>
      </c>
      <c r="N158" s="6">
        <f>400000-L158-H158-F158-D158-Table3[[#This Row],[Column4]]</f>
        <v>132000</v>
      </c>
    </row>
    <row r="159" spans="1:14" x14ac:dyDescent="0.45">
      <c r="A159" s="10">
        <f t="shared" si="24"/>
        <v>158</v>
      </c>
      <c r="B159" s="5" t="s">
        <v>225</v>
      </c>
      <c r="C159" s="5" t="s">
        <v>24</v>
      </c>
      <c r="D159" s="5">
        <f t="shared" si="25"/>
        <v>20000</v>
      </c>
      <c r="E159" s="5">
        <v>1</v>
      </c>
      <c r="F159" s="5">
        <f t="shared" si="26"/>
        <v>0</v>
      </c>
      <c r="G159" s="5">
        <v>0</v>
      </c>
      <c r="H159" s="5">
        <f t="shared" si="27"/>
        <v>0</v>
      </c>
      <c r="I159" s="5">
        <v>0</v>
      </c>
      <c r="J159" s="5">
        <f t="shared" si="28"/>
        <v>147000</v>
      </c>
      <c r="K159" s="5">
        <v>49</v>
      </c>
      <c r="L159" s="5">
        <f t="shared" si="29"/>
        <v>15000</v>
      </c>
      <c r="M159" s="5">
        <v>1</v>
      </c>
      <c r="N159" s="6">
        <f>400000-L159-H159-F159-D159-Table3[[#This Row],[Column4]]</f>
        <v>218000</v>
      </c>
    </row>
    <row r="160" spans="1:14" x14ac:dyDescent="0.45">
      <c r="A160" s="10">
        <f t="shared" si="24"/>
        <v>159</v>
      </c>
      <c r="B160" s="5" t="s">
        <v>226</v>
      </c>
      <c r="C160" s="5" t="s">
        <v>24</v>
      </c>
      <c r="D160" s="5">
        <f t="shared" si="25"/>
        <v>0</v>
      </c>
      <c r="E160" s="5">
        <v>0</v>
      </c>
      <c r="F160" s="5">
        <f t="shared" si="26"/>
        <v>0</v>
      </c>
      <c r="G160" s="5">
        <v>0</v>
      </c>
      <c r="H160" s="5">
        <f t="shared" si="27"/>
        <v>0</v>
      </c>
      <c r="I160" s="5">
        <v>0</v>
      </c>
      <c r="J160" s="5">
        <f t="shared" si="28"/>
        <v>48000</v>
      </c>
      <c r="K160" s="5">
        <v>16</v>
      </c>
      <c r="L160" s="5">
        <f t="shared" si="29"/>
        <v>0</v>
      </c>
      <c r="M160" s="5">
        <v>0</v>
      </c>
      <c r="N160" s="6">
        <f>400000-L160-H160-F160-D160-Table3[[#This Row],[Column4]]</f>
        <v>352000</v>
      </c>
    </row>
    <row r="161" spans="1:14" x14ac:dyDescent="0.45">
      <c r="A161" s="10">
        <f t="shared" si="24"/>
        <v>160</v>
      </c>
      <c r="B161" s="5" t="s">
        <v>227</v>
      </c>
      <c r="C161" s="5" t="s">
        <v>24</v>
      </c>
      <c r="D161" s="5">
        <f t="shared" si="25"/>
        <v>20000</v>
      </c>
      <c r="E161" s="5">
        <v>1</v>
      </c>
      <c r="F161" s="5">
        <f t="shared" si="26"/>
        <v>30000</v>
      </c>
      <c r="G161" s="5">
        <v>1</v>
      </c>
      <c r="H161" s="5">
        <f t="shared" si="27"/>
        <v>0</v>
      </c>
      <c r="I161" s="5">
        <v>0</v>
      </c>
      <c r="J161" s="5">
        <f t="shared" si="28"/>
        <v>84000</v>
      </c>
      <c r="K161" s="5">
        <v>28</v>
      </c>
      <c r="L161" s="5">
        <f t="shared" si="29"/>
        <v>0</v>
      </c>
      <c r="M161" s="5">
        <v>0</v>
      </c>
      <c r="N161" s="6">
        <f>400000-L161-H161-F161-D161-Table3[[#This Row],[Column4]]</f>
        <v>266000</v>
      </c>
    </row>
    <row r="162" spans="1:14" x14ac:dyDescent="0.45">
      <c r="A162" s="10">
        <f t="shared" si="24"/>
        <v>161</v>
      </c>
      <c r="B162" s="5" t="s">
        <v>228</v>
      </c>
      <c r="C162" s="5" t="s">
        <v>24</v>
      </c>
      <c r="D162" s="5">
        <f t="shared" si="25"/>
        <v>80000</v>
      </c>
      <c r="E162" s="5">
        <v>4</v>
      </c>
      <c r="F162" s="5">
        <f t="shared" si="26"/>
        <v>30000</v>
      </c>
      <c r="G162" s="5">
        <v>1</v>
      </c>
      <c r="H162" s="5">
        <f t="shared" si="27"/>
        <v>0</v>
      </c>
      <c r="I162" s="5">
        <v>0</v>
      </c>
      <c r="J162" s="5">
        <f t="shared" si="28"/>
        <v>90000</v>
      </c>
      <c r="K162" s="5">
        <v>30</v>
      </c>
      <c r="L162" s="5">
        <f t="shared" si="29"/>
        <v>0</v>
      </c>
      <c r="M162" s="5">
        <v>0</v>
      </c>
      <c r="N162" s="6">
        <f>400000-L162-H162-F162-D162-Table3[[#This Row],[Column4]]</f>
        <v>200000</v>
      </c>
    </row>
    <row r="163" spans="1:14" x14ac:dyDescent="0.45">
      <c r="A163" s="10">
        <f t="shared" si="24"/>
        <v>162</v>
      </c>
      <c r="B163" s="5" t="s">
        <v>229</v>
      </c>
      <c r="C163" s="5" t="s">
        <v>24</v>
      </c>
      <c r="D163" s="5">
        <f t="shared" si="25"/>
        <v>40000</v>
      </c>
      <c r="E163" s="5">
        <v>2</v>
      </c>
      <c r="F163" s="5">
        <f t="shared" si="26"/>
        <v>90000</v>
      </c>
      <c r="G163" s="5">
        <v>3</v>
      </c>
      <c r="H163" s="5">
        <f t="shared" si="27"/>
        <v>0</v>
      </c>
      <c r="I163" s="5">
        <v>0</v>
      </c>
      <c r="J163" s="5">
        <f t="shared" si="28"/>
        <v>228000</v>
      </c>
      <c r="K163" s="5">
        <v>76</v>
      </c>
      <c r="L163" s="5">
        <f t="shared" si="29"/>
        <v>0</v>
      </c>
      <c r="M163" s="5">
        <v>0</v>
      </c>
      <c r="N163" s="6">
        <f>400000-L163-H163-F163-D163-Table3[[#This Row],[Column4]]</f>
        <v>42000</v>
      </c>
    </row>
    <row r="164" spans="1:14" x14ac:dyDescent="0.45">
      <c r="A164" s="10">
        <f t="shared" si="24"/>
        <v>163</v>
      </c>
      <c r="B164" s="5" t="s">
        <v>230</v>
      </c>
      <c r="C164" s="5" t="s">
        <v>24</v>
      </c>
      <c r="D164" s="5">
        <f t="shared" si="25"/>
        <v>40000</v>
      </c>
      <c r="E164" s="5">
        <v>2</v>
      </c>
      <c r="F164" s="5">
        <f t="shared" si="26"/>
        <v>0</v>
      </c>
      <c r="G164" s="5">
        <v>0</v>
      </c>
      <c r="H164" s="5">
        <f t="shared" si="27"/>
        <v>0</v>
      </c>
      <c r="I164" s="5">
        <v>0</v>
      </c>
      <c r="J164" s="5">
        <f t="shared" si="28"/>
        <v>36000</v>
      </c>
      <c r="K164" s="5">
        <v>12</v>
      </c>
      <c r="L164" s="5">
        <f t="shared" si="29"/>
        <v>0</v>
      </c>
      <c r="M164" s="5">
        <v>0</v>
      </c>
      <c r="N164" s="6">
        <f>400000-L164-H164-F164-D164-Table3[[#This Row],[Column4]]</f>
        <v>324000</v>
      </c>
    </row>
    <row r="165" spans="1:14" x14ac:dyDescent="0.45">
      <c r="A165" s="10">
        <f t="shared" si="24"/>
        <v>164</v>
      </c>
      <c r="B165" s="5" t="s">
        <v>231</v>
      </c>
      <c r="C165" s="5" t="s">
        <v>24</v>
      </c>
      <c r="D165" s="5">
        <f t="shared" si="25"/>
        <v>0</v>
      </c>
      <c r="E165" s="5">
        <v>0</v>
      </c>
      <c r="F165" s="5">
        <f t="shared" si="26"/>
        <v>0</v>
      </c>
      <c r="G165" s="5">
        <v>0</v>
      </c>
      <c r="H165" s="5">
        <f t="shared" si="27"/>
        <v>30000</v>
      </c>
      <c r="I165" s="5">
        <v>1</v>
      </c>
      <c r="J165" s="5">
        <f t="shared" si="28"/>
        <v>81000</v>
      </c>
      <c r="K165" s="5">
        <v>27</v>
      </c>
      <c r="L165" s="5">
        <f t="shared" si="29"/>
        <v>0</v>
      </c>
      <c r="M165" s="5">
        <v>0</v>
      </c>
      <c r="N165" s="6">
        <f>400000-L165-H165-F165-D165-Table3[[#This Row],[Column4]]</f>
        <v>289000</v>
      </c>
    </row>
    <row r="166" spans="1:14" x14ac:dyDescent="0.45">
      <c r="A166" s="10">
        <f t="shared" si="24"/>
        <v>165</v>
      </c>
      <c r="B166" s="5" t="s">
        <v>232</v>
      </c>
      <c r="C166" s="5" t="s">
        <v>24</v>
      </c>
      <c r="D166" s="5">
        <f t="shared" si="25"/>
        <v>0</v>
      </c>
      <c r="E166" s="5">
        <v>0</v>
      </c>
      <c r="F166" s="5">
        <f t="shared" si="26"/>
        <v>0</v>
      </c>
      <c r="G166" s="5">
        <v>0</v>
      </c>
      <c r="H166" s="5">
        <f t="shared" si="27"/>
        <v>30000</v>
      </c>
      <c r="I166" s="5">
        <v>1</v>
      </c>
      <c r="J166" s="5">
        <f t="shared" si="28"/>
        <v>33000</v>
      </c>
      <c r="K166" s="5">
        <v>11</v>
      </c>
      <c r="L166" s="5">
        <f t="shared" si="29"/>
        <v>15000</v>
      </c>
      <c r="M166" s="5">
        <v>1</v>
      </c>
      <c r="N166" s="6">
        <f>400000-L166-H166-F166-D166-Table3[[#This Row],[Column4]]</f>
        <v>322000</v>
      </c>
    </row>
    <row r="167" spans="1:14" x14ac:dyDescent="0.45">
      <c r="A167" s="10">
        <f t="shared" si="24"/>
        <v>166</v>
      </c>
      <c r="B167" s="5" t="s">
        <v>233</v>
      </c>
      <c r="C167" s="5" t="s">
        <v>24</v>
      </c>
      <c r="D167" s="5">
        <f t="shared" si="25"/>
        <v>0</v>
      </c>
      <c r="E167" s="5">
        <v>0</v>
      </c>
      <c r="F167" s="5">
        <f t="shared" si="26"/>
        <v>0</v>
      </c>
      <c r="G167" s="5">
        <v>0</v>
      </c>
      <c r="H167" s="5">
        <f t="shared" si="27"/>
        <v>0</v>
      </c>
      <c r="I167" s="5">
        <v>0</v>
      </c>
      <c r="J167" s="5">
        <f t="shared" si="28"/>
        <v>39000</v>
      </c>
      <c r="K167" s="5">
        <v>13</v>
      </c>
      <c r="L167" s="5">
        <f t="shared" si="29"/>
        <v>15000</v>
      </c>
      <c r="M167" s="5">
        <v>1</v>
      </c>
      <c r="N167" s="6">
        <f>400000-L167-H167-F167-D167-Table3[[#This Row],[Column4]]</f>
        <v>346000</v>
      </c>
    </row>
    <row r="168" spans="1:14" x14ac:dyDescent="0.45">
      <c r="A168" s="10">
        <f t="shared" si="24"/>
        <v>167</v>
      </c>
      <c r="B168" s="5" t="s">
        <v>234</v>
      </c>
      <c r="C168" s="5" t="s">
        <v>24</v>
      </c>
      <c r="D168" s="5">
        <f t="shared" si="25"/>
        <v>60000</v>
      </c>
      <c r="E168" s="5">
        <v>3</v>
      </c>
      <c r="F168" s="5">
        <f t="shared" si="26"/>
        <v>0</v>
      </c>
      <c r="G168" s="5">
        <v>0</v>
      </c>
      <c r="H168" s="5">
        <f t="shared" si="27"/>
        <v>0</v>
      </c>
      <c r="I168" s="5">
        <v>0</v>
      </c>
      <c r="J168" s="5">
        <f t="shared" si="28"/>
        <v>15000</v>
      </c>
      <c r="K168" s="5">
        <v>5</v>
      </c>
      <c r="L168" s="5">
        <f t="shared" si="29"/>
        <v>75000</v>
      </c>
      <c r="M168" s="5">
        <v>5</v>
      </c>
      <c r="N168" s="6">
        <f>400000-L168-H168-F168-D168-Table3[[#This Row],[Column4]]</f>
        <v>250000</v>
      </c>
    </row>
    <row r="169" spans="1:14" x14ac:dyDescent="0.45">
      <c r="A169" s="10">
        <f t="shared" si="24"/>
        <v>168</v>
      </c>
      <c r="B169" s="5" t="s">
        <v>235</v>
      </c>
      <c r="C169" s="5" t="s">
        <v>24</v>
      </c>
      <c r="D169" s="5">
        <f t="shared" si="25"/>
        <v>0</v>
      </c>
      <c r="E169" s="5">
        <v>0</v>
      </c>
      <c r="F169" s="5">
        <f t="shared" si="26"/>
        <v>90000</v>
      </c>
      <c r="G169" s="5">
        <v>3</v>
      </c>
      <c r="H169" s="5">
        <f t="shared" si="27"/>
        <v>0</v>
      </c>
      <c r="I169" s="5">
        <v>0</v>
      </c>
      <c r="J169" s="5">
        <f t="shared" si="28"/>
        <v>6000</v>
      </c>
      <c r="K169" s="5">
        <v>2</v>
      </c>
      <c r="L169" s="5">
        <f t="shared" si="29"/>
        <v>0</v>
      </c>
      <c r="M169" s="5">
        <v>0</v>
      </c>
      <c r="N169" s="6">
        <f>400000-L169-H169-F169-D169-Table3[[#This Row],[Column4]]</f>
        <v>304000</v>
      </c>
    </row>
    <row r="170" spans="1:14" x14ac:dyDescent="0.45">
      <c r="A170" s="10">
        <f t="shared" si="24"/>
        <v>169</v>
      </c>
      <c r="B170" s="5" t="s">
        <v>236</v>
      </c>
      <c r="C170" s="5" t="s">
        <v>24</v>
      </c>
      <c r="D170" s="5">
        <f t="shared" si="25"/>
        <v>20000</v>
      </c>
      <c r="E170" s="5">
        <v>1</v>
      </c>
      <c r="F170" s="5">
        <f t="shared" si="26"/>
        <v>60000</v>
      </c>
      <c r="G170" s="5">
        <v>2</v>
      </c>
      <c r="H170" s="5">
        <f t="shared" si="27"/>
        <v>30000</v>
      </c>
      <c r="I170" s="5">
        <v>1</v>
      </c>
      <c r="J170" s="5">
        <f t="shared" si="28"/>
        <v>42000</v>
      </c>
      <c r="K170" s="5">
        <v>14</v>
      </c>
      <c r="L170" s="5">
        <f t="shared" si="29"/>
        <v>15000</v>
      </c>
      <c r="M170" s="5">
        <v>1</v>
      </c>
      <c r="N170" s="6">
        <f>400000-L170-H170-F170-D170-Table3[[#This Row],[Column4]]</f>
        <v>233000</v>
      </c>
    </row>
    <row r="171" spans="1:14" x14ac:dyDescent="0.45">
      <c r="A171" s="10">
        <f t="shared" si="24"/>
        <v>170</v>
      </c>
      <c r="B171" s="5" t="s">
        <v>237</v>
      </c>
      <c r="C171" s="5" t="s">
        <v>24</v>
      </c>
      <c r="D171" s="5">
        <f t="shared" si="25"/>
        <v>0</v>
      </c>
      <c r="E171" s="5">
        <v>0</v>
      </c>
      <c r="F171" s="5">
        <f t="shared" si="26"/>
        <v>0</v>
      </c>
      <c r="G171" s="5">
        <v>0</v>
      </c>
      <c r="H171" s="5">
        <f t="shared" si="27"/>
        <v>0</v>
      </c>
      <c r="I171" s="5">
        <v>0</v>
      </c>
      <c r="J171" s="5">
        <f t="shared" si="28"/>
        <v>39000</v>
      </c>
      <c r="K171" s="5">
        <v>13</v>
      </c>
      <c r="L171" s="5">
        <f t="shared" si="29"/>
        <v>0</v>
      </c>
      <c r="M171" s="5">
        <v>0</v>
      </c>
      <c r="N171" s="6">
        <f>400000-L171-H171-F171-D171-Table3[[#This Row],[Column4]]</f>
        <v>361000</v>
      </c>
    </row>
    <row r="172" spans="1:14" x14ac:dyDescent="0.45">
      <c r="A172" s="10">
        <f t="shared" si="24"/>
        <v>171</v>
      </c>
      <c r="B172" s="5" t="s">
        <v>238</v>
      </c>
      <c r="C172" s="5" t="s">
        <v>24</v>
      </c>
      <c r="D172" s="5">
        <f t="shared" si="25"/>
        <v>0</v>
      </c>
      <c r="E172" s="5">
        <v>0</v>
      </c>
      <c r="F172" s="5">
        <f t="shared" si="26"/>
        <v>60000</v>
      </c>
      <c r="G172" s="5">
        <v>2</v>
      </c>
      <c r="H172" s="5">
        <f t="shared" si="27"/>
        <v>0</v>
      </c>
      <c r="I172" s="5">
        <v>0</v>
      </c>
      <c r="J172" s="5">
        <f t="shared" si="28"/>
        <v>15000</v>
      </c>
      <c r="K172" s="5">
        <v>5</v>
      </c>
      <c r="L172" s="5">
        <f t="shared" si="29"/>
        <v>0</v>
      </c>
      <c r="M172" s="5">
        <v>0</v>
      </c>
      <c r="N172" s="6">
        <f>400000-L172-H172-F172-D172-Table3[[#This Row],[Column4]]</f>
        <v>325000</v>
      </c>
    </row>
    <row r="173" spans="1:14" x14ac:dyDescent="0.45">
      <c r="A173" s="10">
        <f t="shared" si="24"/>
        <v>172</v>
      </c>
      <c r="B173" s="5" t="s">
        <v>239</v>
      </c>
      <c r="C173" s="5" t="s">
        <v>24</v>
      </c>
      <c r="D173" s="5">
        <f t="shared" si="25"/>
        <v>0</v>
      </c>
      <c r="E173" s="5">
        <v>0</v>
      </c>
      <c r="F173" s="5">
        <f t="shared" si="26"/>
        <v>0</v>
      </c>
      <c r="G173" s="5">
        <v>0</v>
      </c>
      <c r="H173" s="5">
        <f t="shared" si="27"/>
        <v>30000</v>
      </c>
      <c r="I173" s="5">
        <v>1</v>
      </c>
      <c r="J173" s="5">
        <f t="shared" si="28"/>
        <v>69000</v>
      </c>
      <c r="K173" s="5">
        <v>23</v>
      </c>
      <c r="L173" s="5">
        <f t="shared" si="29"/>
        <v>0</v>
      </c>
      <c r="M173" s="5">
        <v>0</v>
      </c>
      <c r="N173" s="6">
        <f>400000-L173-H173-F173-D173-Table3[[#This Row],[Column4]]</f>
        <v>301000</v>
      </c>
    </row>
    <row r="174" spans="1:14" x14ac:dyDescent="0.45">
      <c r="A174" s="10">
        <f t="shared" si="24"/>
        <v>173</v>
      </c>
      <c r="B174" s="5" t="s">
        <v>240</v>
      </c>
      <c r="C174" s="5" t="s">
        <v>24</v>
      </c>
      <c r="D174" s="5">
        <f t="shared" si="25"/>
        <v>0</v>
      </c>
      <c r="E174" s="5">
        <v>0</v>
      </c>
      <c r="F174" s="5">
        <f t="shared" si="26"/>
        <v>0</v>
      </c>
      <c r="G174" s="5">
        <v>0</v>
      </c>
      <c r="H174" s="5">
        <f t="shared" si="27"/>
        <v>0</v>
      </c>
      <c r="I174" s="5">
        <v>0</v>
      </c>
      <c r="J174" s="5">
        <f t="shared" si="28"/>
        <v>9000</v>
      </c>
      <c r="K174" s="5">
        <v>3</v>
      </c>
      <c r="L174" s="5">
        <f t="shared" si="29"/>
        <v>0</v>
      </c>
      <c r="M174" s="5">
        <v>0</v>
      </c>
      <c r="N174" s="6">
        <f>400000-L174-H174-F174-D174-Table3[[#This Row],[Column4]]</f>
        <v>391000</v>
      </c>
    </row>
    <row r="175" spans="1:14" x14ac:dyDescent="0.45">
      <c r="A175" s="10">
        <f t="shared" si="24"/>
        <v>174</v>
      </c>
      <c r="B175" s="5" t="s">
        <v>241</v>
      </c>
      <c r="C175" s="5" t="s">
        <v>24</v>
      </c>
      <c r="D175" s="5">
        <f t="shared" si="25"/>
        <v>0</v>
      </c>
      <c r="E175" s="5">
        <v>0</v>
      </c>
      <c r="F175" s="5">
        <f t="shared" si="26"/>
        <v>30000</v>
      </c>
      <c r="G175" s="5">
        <v>1</v>
      </c>
      <c r="H175" s="5">
        <f t="shared" si="27"/>
        <v>0</v>
      </c>
      <c r="I175" s="5">
        <v>0</v>
      </c>
      <c r="J175" s="5">
        <f t="shared" si="28"/>
        <v>30000</v>
      </c>
      <c r="K175" s="5">
        <v>10</v>
      </c>
      <c r="L175" s="5">
        <f t="shared" si="29"/>
        <v>30000</v>
      </c>
      <c r="M175" s="5">
        <v>2</v>
      </c>
      <c r="N175" s="6">
        <f>400000-L175-H175-F175-D175-Table3[[#This Row],[Column4]]</f>
        <v>310000</v>
      </c>
    </row>
    <row r="176" spans="1:14" x14ac:dyDescent="0.45">
      <c r="A176" s="10">
        <f t="shared" si="24"/>
        <v>175</v>
      </c>
      <c r="B176" s="5" t="s">
        <v>242</v>
      </c>
      <c r="C176" s="5" t="s">
        <v>24</v>
      </c>
      <c r="D176" s="5">
        <f t="shared" si="25"/>
        <v>0</v>
      </c>
      <c r="E176" s="5">
        <v>0</v>
      </c>
      <c r="F176" s="5">
        <f t="shared" si="26"/>
        <v>0</v>
      </c>
      <c r="G176" s="5">
        <v>0</v>
      </c>
      <c r="H176" s="5">
        <f t="shared" si="27"/>
        <v>0</v>
      </c>
      <c r="I176" s="5">
        <v>0</v>
      </c>
      <c r="J176" s="5">
        <f t="shared" si="28"/>
        <v>27000</v>
      </c>
      <c r="K176" s="5">
        <v>9</v>
      </c>
      <c r="L176" s="5">
        <f t="shared" si="29"/>
        <v>0</v>
      </c>
      <c r="M176" s="5">
        <v>0</v>
      </c>
      <c r="N176" s="6">
        <f>400000-L176-H176-F176-D176-Table3[[#This Row],[Column4]]</f>
        <v>373000</v>
      </c>
    </row>
    <row r="177" spans="1:14" x14ac:dyDescent="0.45">
      <c r="A177" s="10">
        <f t="shared" si="24"/>
        <v>176</v>
      </c>
      <c r="B177" s="5" t="s">
        <v>243</v>
      </c>
      <c r="C177" s="5" t="s">
        <v>24</v>
      </c>
      <c r="D177" s="5">
        <f t="shared" si="25"/>
        <v>0</v>
      </c>
      <c r="E177" s="5">
        <v>0</v>
      </c>
      <c r="F177" s="5">
        <f t="shared" si="26"/>
        <v>0</v>
      </c>
      <c r="G177" s="5">
        <v>0</v>
      </c>
      <c r="H177" s="5">
        <f t="shared" si="27"/>
        <v>30000</v>
      </c>
      <c r="I177" s="5">
        <v>1</v>
      </c>
      <c r="J177" s="5">
        <f t="shared" si="28"/>
        <v>15000</v>
      </c>
      <c r="K177" s="5">
        <v>5</v>
      </c>
      <c r="L177" s="5">
        <f t="shared" si="29"/>
        <v>0</v>
      </c>
      <c r="M177" s="5">
        <v>0</v>
      </c>
      <c r="N177" s="6">
        <f>400000-L177-H177-F177-D177-Table3[[#This Row],[Column4]]</f>
        <v>355000</v>
      </c>
    </row>
    <row r="178" spans="1:14" x14ac:dyDescent="0.45">
      <c r="A178" s="10">
        <f t="shared" si="24"/>
        <v>177</v>
      </c>
      <c r="B178" s="5" t="s">
        <v>244</v>
      </c>
      <c r="C178" s="5" t="s">
        <v>24</v>
      </c>
      <c r="D178" s="5">
        <f t="shared" si="25"/>
        <v>20000</v>
      </c>
      <c r="E178" s="5">
        <v>1</v>
      </c>
      <c r="F178" s="5">
        <f t="shared" si="26"/>
        <v>30000</v>
      </c>
      <c r="G178" s="5">
        <v>1</v>
      </c>
      <c r="H178" s="5">
        <f t="shared" si="27"/>
        <v>30000</v>
      </c>
      <c r="I178" s="5">
        <v>1</v>
      </c>
      <c r="J178" s="5">
        <f t="shared" si="28"/>
        <v>15000</v>
      </c>
      <c r="K178" s="5">
        <v>5</v>
      </c>
      <c r="L178" s="5">
        <f t="shared" si="29"/>
        <v>0</v>
      </c>
      <c r="M178" s="5">
        <v>0</v>
      </c>
      <c r="N178" s="6">
        <f>400000-L178-H178-F178-D178-Table3[[#This Row],[Column4]]</f>
        <v>305000</v>
      </c>
    </row>
    <row r="179" spans="1:14" x14ac:dyDescent="0.45">
      <c r="A179" s="10">
        <f t="shared" si="24"/>
        <v>178</v>
      </c>
      <c r="B179" s="5" t="s">
        <v>245</v>
      </c>
      <c r="C179" s="5" t="s">
        <v>24</v>
      </c>
      <c r="D179" s="5">
        <f t="shared" si="25"/>
        <v>0</v>
      </c>
      <c r="E179" s="5">
        <v>0</v>
      </c>
      <c r="F179" s="5">
        <f t="shared" si="26"/>
        <v>30000</v>
      </c>
      <c r="G179" s="5">
        <v>1</v>
      </c>
      <c r="H179" s="5">
        <f t="shared" si="27"/>
        <v>0</v>
      </c>
      <c r="I179" s="5">
        <v>0</v>
      </c>
      <c r="J179" s="5">
        <f t="shared" si="28"/>
        <v>3000</v>
      </c>
      <c r="K179" s="5">
        <v>1</v>
      </c>
      <c r="L179" s="5">
        <f t="shared" si="29"/>
        <v>15000</v>
      </c>
      <c r="M179" s="5">
        <v>1</v>
      </c>
      <c r="N179" s="6">
        <f>400000-L179-H179-F179-D179-Table3[[#This Row],[Column4]]</f>
        <v>352000</v>
      </c>
    </row>
    <row r="180" spans="1:14" x14ac:dyDescent="0.45">
      <c r="A180" s="10">
        <f t="shared" si="24"/>
        <v>179</v>
      </c>
      <c r="B180" s="5" t="s">
        <v>246</v>
      </c>
      <c r="C180" s="5" t="s">
        <v>24</v>
      </c>
      <c r="D180" s="5">
        <f t="shared" si="25"/>
        <v>0</v>
      </c>
      <c r="E180" s="5">
        <v>0</v>
      </c>
      <c r="F180" s="5">
        <f t="shared" si="26"/>
        <v>0</v>
      </c>
      <c r="G180" s="5">
        <v>0</v>
      </c>
      <c r="H180" s="5">
        <f t="shared" si="27"/>
        <v>60000</v>
      </c>
      <c r="I180" s="5">
        <v>2</v>
      </c>
      <c r="J180" s="5">
        <f t="shared" si="28"/>
        <v>27000</v>
      </c>
      <c r="K180" s="5">
        <v>9</v>
      </c>
      <c r="L180" s="5">
        <f t="shared" si="29"/>
        <v>15000</v>
      </c>
      <c r="M180" s="5">
        <v>1</v>
      </c>
      <c r="N180" s="6">
        <f>400000-L180-H180-F180-D180-Table3[[#This Row],[Column4]]</f>
        <v>298000</v>
      </c>
    </row>
    <row r="181" spans="1:14" x14ac:dyDescent="0.45">
      <c r="A181" s="10">
        <f t="shared" si="24"/>
        <v>180</v>
      </c>
      <c r="B181" s="5" t="s">
        <v>247</v>
      </c>
      <c r="C181" s="5" t="s">
        <v>24</v>
      </c>
      <c r="D181" s="5">
        <f t="shared" si="25"/>
        <v>20000</v>
      </c>
      <c r="E181" s="5">
        <v>1</v>
      </c>
      <c r="F181" s="5">
        <f t="shared" si="26"/>
        <v>0</v>
      </c>
      <c r="G181" s="5">
        <v>0</v>
      </c>
      <c r="H181" s="5">
        <f t="shared" si="27"/>
        <v>60000</v>
      </c>
      <c r="I181" s="5">
        <v>2</v>
      </c>
      <c r="J181" s="5">
        <f t="shared" si="28"/>
        <v>12000</v>
      </c>
      <c r="K181" s="5">
        <v>4</v>
      </c>
      <c r="L181" s="5">
        <f t="shared" si="29"/>
        <v>30000</v>
      </c>
      <c r="M181" s="5">
        <v>2</v>
      </c>
      <c r="N181" s="6">
        <f>400000-L181-H181-F181-D181-Table3[[#This Row],[Column4]]</f>
        <v>278000</v>
      </c>
    </row>
    <row r="182" spans="1:14" x14ac:dyDescent="0.45">
      <c r="A182" s="10">
        <f>ROW(A182)-1</f>
        <v>181</v>
      </c>
      <c r="B182" s="5" t="s">
        <v>248</v>
      </c>
      <c r="C182" s="5" t="s">
        <v>24</v>
      </c>
      <c r="D182" s="5">
        <f>E182*20000</f>
        <v>0</v>
      </c>
      <c r="E182" s="5">
        <v>0</v>
      </c>
      <c r="F182" s="5">
        <f>G182*30000</f>
        <v>30000</v>
      </c>
      <c r="G182" s="5">
        <v>1</v>
      </c>
      <c r="H182" s="5">
        <f>I182*30000</f>
        <v>0</v>
      </c>
      <c r="I182" s="5">
        <v>0</v>
      </c>
      <c r="J182" s="5">
        <f>K182*3000</f>
        <v>30000</v>
      </c>
      <c r="K182" s="5">
        <v>10</v>
      </c>
      <c r="L182" s="5">
        <f>M182*15000</f>
        <v>0</v>
      </c>
      <c r="M182" s="5">
        <v>0</v>
      </c>
      <c r="N182" s="6">
        <f>400000-L182-H182-F182-D182-Table3[[#This Row],[Column4]]</f>
        <v>340000</v>
      </c>
    </row>
    <row r="183" spans="1:14" x14ac:dyDescent="0.45">
      <c r="A183" s="10">
        <f t="shared" ref="A183:A212" si="30">ROW(A183)-1</f>
        <v>182</v>
      </c>
      <c r="B183" s="5" t="s">
        <v>249</v>
      </c>
      <c r="C183" s="5" t="s">
        <v>24</v>
      </c>
      <c r="D183" s="5">
        <f t="shared" ref="D183:D212" si="31">E183*20000</f>
        <v>20000</v>
      </c>
      <c r="E183" s="5">
        <v>1</v>
      </c>
      <c r="F183" s="5">
        <f t="shared" ref="F183:F212" si="32">G183*30000</f>
        <v>30000</v>
      </c>
      <c r="G183" s="5">
        <v>1</v>
      </c>
      <c r="H183" s="5">
        <f t="shared" ref="H183:H212" si="33">I183*30000</f>
        <v>0</v>
      </c>
      <c r="I183" s="5">
        <v>0</v>
      </c>
      <c r="J183" s="5">
        <f t="shared" ref="J183:J243" si="34">K183*3000</f>
        <v>21000</v>
      </c>
      <c r="K183" s="5">
        <v>7</v>
      </c>
      <c r="L183" s="5">
        <f t="shared" ref="L183:L243" si="35">M183*15000</f>
        <v>0</v>
      </c>
      <c r="M183" s="5">
        <v>0</v>
      </c>
      <c r="N183" s="6">
        <f>400000-L183-H183-F183-D183-Table3[[#This Row],[Column4]]</f>
        <v>329000</v>
      </c>
    </row>
    <row r="184" spans="1:14" x14ac:dyDescent="0.45">
      <c r="A184" s="10">
        <f t="shared" si="30"/>
        <v>183</v>
      </c>
      <c r="B184" s="5" t="s">
        <v>250</v>
      </c>
      <c r="C184" s="5" t="s">
        <v>24</v>
      </c>
      <c r="D184" s="5">
        <f t="shared" si="31"/>
        <v>20000</v>
      </c>
      <c r="E184" s="5">
        <v>1</v>
      </c>
      <c r="F184" s="5">
        <f t="shared" si="32"/>
        <v>30000</v>
      </c>
      <c r="G184" s="5">
        <v>1</v>
      </c>
      <c r="H184" s="5">
        <f t="shared" si="33"/>
        <v>0</v>
      </c>
      <c r="I184" s="5">
        <v>0</v>
      </c>
      <c r="J184" s="5">
        <f t="shared" si="34"/>
        <v>24000</v>
      </c>
      <c r="K184" s="5">
        <v>8</v>
      </c>
      <c r="L184" s="5">
        <f t="shared" si="35"/>
        <v>0</v>
      </c>
      <c r="M184" s="5">
        <v>0</v>
      </c>
      <c r="N184" s="6">
        <f>400000-L184-H184-F184-D184-Table3[[#This Row],[Column4]]</f>
        <v>326000</v>
      </c>
    </row>
    <row r="185" spans="1:14" x14ac:dyDescent="0.45">
      <c r="A185" s="10">
        <f t="shared" si="30"/>
        <v>184</v>
      </c>
      <c r="B185" s="5" t="s">
        <v>251</v>
      </c>
      <c r="C185" s="5" t="s">
        <v>24</v>
      </c>
      <c r="D185" s="5">
        <f t="shared" si="31"/>
        <v>0</v>
      </c>
      <c r="E185" s="5">
        <v>0</v>
      </c>
      <c r="F185" s="5">
        <f t="shared" si="32"/>
        <v>0</v>
      </c>
      <c r="G185" s="5">
        <v>0</v>
      </c>
      <c r="H185" s="5">
        <f t="shared" si="33"/>
        <v>30000</v>
      </c>
      <c r="I185" s="5">
        <v>1</v>
      </c>
      <c r="J185" s="5">
        <f t="shared" si="34"/>
        <v>3000</v>
      </c>
      <c r="K185" s="5">
        <v>1</v>
      </c>
      <c r="L185" s="5">
        <f t="shared" si="35"/>
        <v>0</v>
      </c>
      <c r="M185" s="5">
        <v>0</v>
      </c>
      <c r="N185" s="6">
        <f>400000-L185-H185-F185-D185-Table3[[#This Row],[Column4]]</f>
        <v>367000</v>
      </c>
    </row>
    <row r="186" spans="1:14" x14ac:dyDescent="0.45">
      <c r="A186" s="10">
        <f t="shared" si="30"/>
        <v>185</v>
      </c>
      <c r="B186" s="5" t="s">
        <v>252</v>
      </c>
      <c r="C186" s="5" t="s">
        <v>24</v>
      </c>
      <c r="D186" s="5">
        <f t="shared" si="31"/>
        <v>0</v>
      </c>
      <c r="E186" s="5">
        <v>0</v>
      </c>
      <c r="F186" s="5">
        <f t="shared" si="32"/>
        <v>0</v>
      </c>
      <c r="G186" s="5">
        <v>0</v>
      </c>
      <c r="H186" s="5">
        <f t="shared" si="33"/>
        <v>30000</v>
      </c>
      <c r="I186" s="5">
        <v>1</v>
      </c>
      <c r="J186" s="5">
        <f t="shared" si="34"/>
        <v>15000</v>
      </c>
      <c r="K186" s="5">
        <v>5</v>
      </c>
      <c r="L186" s="5">
        <f t="shared" si="35"/>
        <v>0</v>
      </c>
      <c r="M186" s="5">
        <v>0</v>
      </c>
      <c r="N186" s="6">
        <f>400000-L186-H186-F186-D186-Table3[[#This Row],[Column4]]</f>
        <v>355000</v>
      </c>
    </row>
    <row r="187" spans="1:14" x14ac:dyDescent="0.45">
      <c r="A187" s="10">
        <f t="shared" si="30"/>
        <v>186</v>
      </c>
      <c r="B187" s="5" t="s">
        <v>253</v>
      </c>
      <c r="C187" s="5" t="s">
        <v>24</v>
      </c>
      <c r="D187" s="5">
        <f t="shared" si="31"/>
        <v>20000</v>
      </c>
      <c r="E187" s="5">
        <v>1</v>
      </c>
      <c r="F187" s="5">
        <f t="shared" si="32"/>
        <v>30000</v>
      </c>
      <c r="G187" s="5">
        <v>1</v>
      </c>
      <c r="H187" s="5">
        <f t="shared" si="33"/>
        <v>0</v>
      </c>
      <c r="I187" s="5">
        <v>0</v>
      </c>
      <c r="J187" s="5">
        <f t="shared" si="34"/>
        <v>33000</v>
      </c>
      <c r="K187" s="5">
        <v>11</v>
      </c>
      <c r="L187" s="5">
        <f t="shared" si="35"/>
        <v>0</v>
      </c>
      <c r="M187" s="5">
        <v>0</v>
      </c>
      <c r="N187" s="6">
        <f>400000-L187-H187-F187-D187-Table3[[#This Row],[Column4]]</f>
        <v>317000</v>
      </c>
    </row>
    <row r="188" spans="1:14" x14ac:dyDescent="0.45">
      <c r="A188" s="10">
        <f t="shared" si="30"/>
        <v>187</v>
      </c>
      <c r="B188" s="5" t="s">
        <v>254</v>
      </c>
      <c r="C188" s="5" t="s">
        <v>24</v>
      </c>
      <c r="D188" s="5">
        <f t="shared" si="31"/>
        <v>20000</v>
      </c>
      <c r="E188" s="5">
        <v>1</v>
      </c>
      <c r="F188" s="5">
        <f t="shared" si="32"/>
        <v>30000</v>
      </c>
      <c r="G188" s="5">
        <v>1</v>
      </c>
      <c r="H188" s="5">
        <f t="shared" si="33"/>
        <v>0</v>
      </c>
      <c r="I188" s="5">
        <v>0</v>
      </c>
      <c r="J188" s="5">
        <f t="shared" si="34"/>
        <v>24000</v>
      </c>
      <c r="K188" s="5">
        <v>8</v>
      </c>
      <c r="L188" s="5">
        <f t="shared" si="35"/>
        <v>0</v>
      </c>
      <c r="M188" s="5">
        <v>0</v>
      </c>
      <c r="N188" s="6">
        <f>400000-L188-H188-F188-D188-Table3[[#This Row],[Column4]]</f>
        <v>326000</v>
      </c>
    </row>
    <row r="189" spans="1:14" x14ac:dyDescent="0.45">
      <c r="A189" s="10">
        <f t="shared" si="30"/>
        <v>188</v>
      </c>
      <c r="B189" s="5" t="s">
        <v>255</v>
      </c>
      <c r="C189" s="5" t="s">
        <v>24</v>
      </c>
      <c r="D189" s="5">
        <f t="shared" si="31"/>
        <v>20000</v>
      </c>
      <c r="E189" s="5">
        <v>1</v>
      </c>
      <c r="F189" s="5">
        <f t="shared" si="32"/>
        <v>0</v>
      </c>
      <c r="G189" s="5">
        <v>0</v>
      </c>
      <c r="H189" s="5">
        <f t="shared" si="33"/>
        <v>0</v>
      </c>
      <c r="I189" s="5">
        <v>0</v>
      </c>
      <c r="J189" s="5">
        <f t="shared" si="34"/>
        <v>30000</v>
      </c>
      <c r="K189" s="5">
        <v>10</v>
      </c>
      <c r="L189" s="5">
        <f t="shared" si="35"/>
        <v>0</v>
      </c>
      <c r="M189" s="5">
        <v>0</v>
      </c>
      <c r="N189" s="6">
        <f>400000-L189-H189-F189-D189-Table3[[#This Row],[Column4]]</f>
        <v>350000</v>
      </c>
    </row>
    <row r="190" spans="1:14" x14ac:dyDescent="0.45">
      <c r="A190" s="10">
        <f t="shared" si="30"/>
        <v>189</v>
      </c>
      <c r="B190" s="5" t="s">
        <v>256</v>
      </c>
      <c r="C190" s="5" t="s">
        <v>24</v>
      </c>
      <c r="D190" s="5">
        <f t="shared" si="31"/>
        <v>20000</v>
      </c>
      <c r="E190" s="5">
        <v>1</v>
      </c>
      <c r="F190" s="5">
        <f t="shared" si="32"/>
        <v>0</v>
      </c>
      <c r="G190" s="5">
        <v>0</v>
      </c>
      <c r="H190" s="5">
        <f t="shared" si="33"/>
        <v>0</v>
      </c>
      <c r="I190" s="5">
        <v>0</v>
      </c>
      <c r="J190" s="5">
        <f t="shared" si="34"/>
        <v>27000</v>
      </c>
      <c r="K190" s="5">
        <v>9</v>
      </c>
      <c r="L190" s="5">
        <f t="shared" si="35"/>
        <v>0</v>
      </c>
      <c r="M190" s="5">
        <v>0</v>
      </c>
      <c r="N190" s="6">
        <f>400000-L190-H190-F190-D190-Table3[[#This Row],[Column4]]</f>
        <v>353000</v>
      </c>
    </row>
    <row r="191" spans="1:14" x14ac:dyDescent="0.45">
      <c r="A191" s="10">
        <f t="shared" si="30"/>
        <v>190</v>
      </c>
      <c r="B191" s="5" t="s">
        <v>257</v>
      </c>
      <c r="C191" s="5" t="s">
        <v>24</v>
      </c>
      <c r="D191" s="5">
        <f t="shared" si="31"/>
        <v>20000</v>
      </c>
      <c r="E191" s="5">
        <v>1</v>
      </c>
      <c r="F191" s="5">
        <f t="shared" si="32"/>
        <v>30000</v>
      </c>
      <c r="G191" s="5">
        <v>1</v>
      </c>
      <c r="H191" s="5">
        <f t="shared" si="33"/>
        <v>60000</v>
      </c>
      <c r="I191" s="5">
        <v>2</v>
      </c>
      <c r="J191" s="5">
        <f t="shared" si="34"/>
        <v>177000</v>
      </c>
      <c r="K191" s="5">
        <v>59</v>
      </c>
      <c r="L191" s="5">
        <f t="shared" si="35"/>
        <v>0</v>
      </c>
      <c r="M191" s="5">
        <v>0</v>
      </c>
      <c r="N191" s="6">
        <f>400000-L191-H191-F191-D191-Table3[[#This Row],[Column4]]</f>
        <v>113000</v>
      </c>
    </row>
    <row r="192" spans="1:14" x14ac:dyDescent="0.45">
      <c r="A192" s="10">
        <f t="shared" si="30"/>
        <v>191</v>
      </c>
      <c r="B192" s="5" t="s">
        <v>258</v>
      </c>
      <c r="C192" s="5" t="s">
        <v>24</v>
      </c>
      <c r="D192" s="5">
        <f t="shared" si="31"/>
        <v>0</v>
      </c>
      <c r="E192" s="5">
        <v>0</v>
      </c>
      <c r="F192" s="5">
        <f t="shared" si="32"/>
        <v>0</v>
      </c>
      <c r="G192" s="5">
        <v>0</v>
      </c>
      <c r="H192" s="5">
        <f t="shared" si="33"/>
        <v>30000</v>
      </c>
      <c r="I192" s="5">
        <v>1</v>
      </c>
      <c r="J192" s="5">
        <f t="shared" si="34"/>
        <v>15000</v>
      </c>
      <c r="K192" s="5">
        <v>5</v>
      </c>
      <c r="L192" s="5">
        <f t="shared" si="35"/>
        <v>0</v>
      </c>
      <c r="M192" s="5">
        <v>0</v>
      </c>
      <c r="N192" s="6">
        <f>400000-L192-H192-F192-D192-Table3[[#This Row],[Column4]]</f>
        <v>355000</v>
      </c>
    </row>
    <row r="193" spans="1:14" x14ac:dyDescent="0.45">
      <c r="A193" s="10">
        <f t="shared" si="30"/>
        <v>192</v>
      </c>
      <c r="B193" s="5" t="s">
        <v>259</v>
      </c>
      <c r="C193" s="5" t="s">
        <v>24</v>
      </c>
      <c r="D193" s="5">
        <f t="shared" si="31"/>
        <v>0</v>
      </c>
      <c r="E193" s="5">
        <v>0</v>
      </c>
      <c r="F193" s="5">
        <f t="shared" si="32"/>
        <v>0</v>
      </c>
      <c r="G193" s="5">
        <v>0</v>
      </c>
      <c r="H193" s="5">
        <f t="shared" si="33"/>
        <v>0</v>
      </c>
      <c r="I193" s="5">
        <v>0</v>
      </c>
      <c r="J193" s="5">
        <f t="shared" si="34"/>
        <v>42000</v>
      </c>
      <c r="K193" s="5">
        <v>14</v>
      </c>
      <c r="L193" s="5">
        <f t="shared" si="35"/>
        <v>0</v>
      </c>
      <c r="M193" s="5">
        <v>0</v>
      </c>
      <c r="N193" s="6">
        <f>400000-L193-H193-F193-D193-Table3[[#This Row],[Column4]]</f>
        <v>358000</v>
      </c>
    </row>
    <row r="194" spans="1:14" x14ac:dyDescent="0.45">
      <c r="A194" s="10">
        <f t="shared" si="30"/>
        <v>193</v>
      </c>
      <c r="B194" s="5" t="s">
        <v>260</v>
      </c>
      <c r="C194" s="5" t="s">
        <v>24</v>
      </c>
      <c r="D194" s="5">
        <f t="shared" si="31"/>
        <v>20000</v>
      </c>
      <c r="E194" s="5">
        <v>1</v>
      </c>
      <c r="F194" s="5">
        <f t="shared" si="32"/>
        <v>0</v>
      </c>
      <c r="G194" s="5">
        <v>0</v>
      </c>
      <c r="H194" s="5">
        <f t="shared" si="33"/>
        <v>30000</v>
      </c>
      <c r="I194" s="5">
        <v>1</v>
      </c>
      <c r="J194" s="5">
        <f t="shared" si="34"/>
        <v>39000</v>
      </c>
      <c r="K194" s="5">
        <v>13</v>
      </c>
      <c r="L194" s="5">
        <f t="shared" si="35"/>
        <v>0</v>
      </c>
      <c r="M194" s="5">
        <v>0</v>
      </c>
      <c r="N194" s="6">
        <f>400000-L194-H194-F194-D194-Table3[[#This Row],[Column4]]</f>
        <v>311000</v>
      </c>
    </row>
    <row r="195" spans="1:14" x14ac:dyDescent="0.45">
      <c r="A195" s="10">
        <f t="shared" si="30"/>
        <v>194</v>
      </c>
      <c r="B195" s="5" t="s">
        <v>261</v>
      </c>
      <c r="C195" s="5" t="s">
        <v>24</v>
      </c>
      <c r="D195" s="5">
        <f t="shared" si="31"/>
        <v>0</v>
      </c>
      <c r="E195" s="5">
        <v>0</v>
      </c>
      <c r="F195" s="5">
        <f t="shared" si="32"/>
        <v>0</v>
      </c>
      <c r="G195" s="5">
        <v>0</v>
      </c>
      <c r="H195" s="5">
        <f t="shared" si="33"/>
        <v>30000</v>
      </c>
      <c r="I195" s="5">
        <v>1</v>
      </c>
      <c r="J195" s="5">
        <f t="shared" si="34"/>
        <v>42000</v>
      </c>
      <c r="K195" s="5">
        <v>14</v>
      </c>
      <c r="L195" s="5">
        <f t="shared" si="35"/>
        <v>0</v>
      </c>
      <c r="M195" s="5">
        <v>0</v>
      </c>
      <c r="N195" s="6">
        <f>400000-L195-H195-F195-D195-Table3[[#This Row],[Column4]]</f>
        <v>328000</v>
      </c>
    </row>
    <row r="196" spans="1:14" x14ac:dyDescent="0.45">
      <c r="A196" s="10">
        <f t="shared" si="30"/>
        <v>195</v>
      </c>
      <c r="B196" s="5" t="s">
        <v>262</v>
      </c>
      <c r="C196" s="5" t="s">
        <v>24</v>
      </c>
      <c r="D196" s="5">
        <f t="shared" si="31"/>
        <v>0</v>
      </c>
      <c r="E196" s="5">
        <v>0</v>
      </c>
      <c r="F196" s="5">
        <f t="shared" si="32"/>
        <v>60000</v>
      </c>
      <c r="G196" s="5">
        <v>2</v>
      </c>
      <c r="H196" s="5">
        <f t="shared" si="33"/>
        <v>0</v>
      </c>
      <c r="I196" s="5">
        <v>0</v>
      </c>
      <c r="J196" s="5">
        <f t="shared" si="34"/>
        <v>15000</v>
      </c>
      <c r="K196" s="5">
        <v>5</v>
      </c>
      <c r="L196" s="5">
        <f t="shared" si="35"/>
        <v>0</v>
      </c>
      <c r="M196" s="5">
        <v>0</v>
      </c>
      <c r="N196" s="6">
        <f>400000-L196-H196-F196-D196-Table3[[#This Row],[Column4]]</f>
        <v>325000</v>
      </c>
    </row>
    <row r="197" spans="1:14" x14ac:dyDescent="0.45">
      <c r="A197" s="10">
        <f t="shared" si="30"/>
        <v>196</v>
      </c>
      <c r="B197" s="5" t="s">
        <v>263</v>
      </c>
      <c r="C197" s="5" t="s">
        <v>24</v>
      </c>
      <c r="D197" s="5">
        <f t="shared" si="31"/>
        <v>0</v>
      </c>
      <c r="E197" s="5">
        <v>0</v>
      </c>
      <c r="F197" s="5">
        <f t="shared" si="32"/>
        <v>60000</v>
      </c>
      <c r="G197" s="5">
        <v>2</v>
      </c>
      <c r="H197" s="5">
        <f t="shared" si="33"/>
        <v>0</v>
      </c>
      <c r="I197" s="5">
        <v>0</v>
      </c>
      <c r="J197" s="5">
        <f t="shared" si="34"/>
        <v>30000</v>
      </c>
      <c r="K197" s="5">
        <v>10</v>
      </c>
      <c r="L197" s="5">
        <f t="shared" si="35"/>
        <v>0</v>
      </c>
      <c r="M197" s="5">
        <v>0</v>
      </c>
      <c r="N197" s="6">
        <f>400000-L197-H197-F197-D197-Table3[[#This Row],[Column4]]</f>
        <v>310000</v>
      </c>
    </row>
    <row r="198" spans="1:14" x14ac:dyDescent="0.45">
      <c r="A198" s="10">
        <f t="shared" si="30"/>
        <v>197</v>
      </c>
      <c r="B198" s="5" t="s">
        <v>264</v>
      </c>
      <c r="C198" s="5" t="s">
        <v>24</v>
      </c>
      <c r="D198" s="5">
        <f t="shared" si="31"/>
        <v>0</v>
      </c>
      <c r="E198" s="5">
        <v>0</v>
      </c>
      <c r="F198" s="5">
        <f t="shared" si="32"/>
        <v>0</v>
      </c>
      <c r="G198" s="5">
        <v>0</v>
      </c>
      <c r="H198" s="5">
        <f t="shared" si="33"/>
        <v>0</v>
      </c>
      <c r="I198" s="5">
        <v>0</v>
      </c>
      <c r="J198" s="5">
        <f t="shared" si="34"/>
        <v>69000</v>
      </c>
      <c r="K198" s="5">
        <v>23</v>
      </c>
      <c r="L198" s="5">
        <f t="shared" si="35"/>
        <v>0</v>
      </c>
      <c r="M198" s="5">
        <v>0</v>
      </c>
      <c r="N198" s="6">
        <f>400000-L198-H198-F198-D198-Table3[[#This Row],[Column4]]</f>
        <v>331000</v>
      </c>
    </row>
    <row r="199" spans="1:14" x14ac:dyDescent="0.45">
      <c r="A199" s="10">
        <f t="shared" si="30"/>
        <v>198</v>
      </c>
      <c r="B199" s="5" t="s">
        <v>265</v>
      </c>
      <c r="C199" s="5" t="s">
        <v>24</v>
      </c>
      <c r="D199" s="5">
        <f t="shared" si="31"/>
        <v>0</v>
      </c>
      <c r="E199" s="5">
        <v>0</v>
      </c>
      <c r="F199" s="5">
        <f t="shared" si="32"/>
        <v>30000</v>
      </c>
      <c r="G199" s="5">
        <v>1</v>
      </c>
      <c r="H199" s="5">
        <f t="shared" si="33"/>
        <v>0</v>
      </c>
      <c r="I199" s="5">
        <v>0</v>
      </c>
      <c r="J199" s="5">
        <f t="shared" si="34"/>
        <v>48000</v>
      </c>
      <c r="K199" s="5">
        <v>16</v>
      </c>
      <c r="L199" s="5">
        <f t="shared" si="35"/>
        <v>0</v>
      </c>
      <c r="M199" s="5">
        <v>0</v>
      </c>
      <c r="N199" s="6">
        <f>400000-L199-H199-F199-D199-Table3[[#This Row],[Column4]]</f>
        <v>322000</v>
      </c>
    </row>
    <row r="200" spans="1:14" x14ac:dyDescent="0.45">
      <c r="A200" s="10">
        <f t="shared" si="30"/>
        <v>199</v>
      </c>
      <c r="B200" s="5" t="s">
        <v>266</v>
      </c>
      <c r="C200" s="5" t="s">
        <v>24</v>
      </c>
      <c r="D200" s="5">
        <f t="shared" si="31"/>
        <v>0</v>
      </c>
      <c r="E200" s="5">
        <v>0</v>
      </c>
      <c r="F200" s="5">
        <f t="shared" si="32"/>
        <v>0</v>
      </c>
      <c r="G200" s="5">
        <v>0</v>
      </c>
      <c r="H200" s="5">
        <f t="shared" si="33"/>
        <v>0</v>
      </c>
      <c r="I200" s="5">
        <v>0</v>
      </c>
      <c r="J200" s="5">
        <f t="shared" si="34"/>
        <v>6000</v>
      </c>
      <c r="K200" s="5">
        <v>2</v>
      </c>
      <c r="L200" s="5">
        <f t="shared" si="35"/>
        <v>0</v>
      </c>
      <c r="M200" s="5">
        <v>0</v>
      </c>
      <c r="N200" s="6">
        <f>400000-L200-H200-F200-D200-Table3[[#This Row],[Column4]]</f>
        <v>394000</v>
      </c>
    </row>
    <row r="201" spans="1:14" x14ac:dyDescent="0.45">
      <c r="A201" s="10">
        <f t="shared" si="30"/>
        <v>200</v>
      </c>
      <c r="B201" s="5" t="s">
        <v>267</v>
      </c>
      <c r="C201" s="5" t="s">
        <v>24</v>
      </c>
      <c r="D201" s="5">
        <f t="shared" si="31"/>
        <v>20000</v>
      </c>
      <c r="E201" s="5">
        <v>1</v>
      </c>
      <c r="F201" s="5">
        <f t="shared" si="32"/>
        <v>0</v>
      </c>
      <c r="G201" s="5">
        <v>0</v>
      </c>
      <c r="H201" s="5">
        <f t="shared" si="33"/>
        <v>30000</v>
      </c>
      <c r="I201" s="5">
        <v>1</v>
      </c>
      <c r="J201" s="5">
        <f t="shared" si="34"/>
        <v>36000</v>
      </c>
      <c r="K201" s="5">
        <v>12</v>
      </c>
      <c r="L201" s="5">
        <f t="shared" si="35"/>
        <v>0</v>
      </c>
      <c r="M201" s="5">
        <v>0</v>
      </c>
      <c r="N201" s="6">
        <f>400000-L201-H201-F201-D201-Table3[[#This Row],[Column4]]</f>
        <v>314000</v>
      </c>
    </row>
    <row r="202" spans="1:14" x14ac:dyDescent="0.45">
      <c r="A202" s="10">
        <f t="shared" si="30"/>
        <v>201</v>
      </c>
      <c r="B202" s="5" t="s">
        <v>268</v>
      </c>
      <c r="C202" s="5" t="s">
        <v>24</v>
      </c>
      <c r="D202" s="5">
        <f t="shared" si="31"/>
        <v>40000</v>
      </c>
      <c r="E202" s="5">
        <v>2</v>
      </c>
      <c r="F202" s="5">
        <f t="shared" si="32"/>
        <v>0</v>
      </c>
      <c r="G202" s="5">
        <v>0</v>
      </c>
      <c r="H202" s="5">
        <f t="shared" si="33"/>
        <v>0</v>
      </c>
      <c r="I202" s="5">
        <v>0</v>
      </c>
      <c r="J202" s="5">
        <f t="shared" si="34"/>
        <v>42000</v>
      </c>
      <c r="K202" s="5">
        <v>14</v>
      </c>
      <c r="L202" s="5">
        <f t="shared" si="35"/>
        <v>0</v>
      </c>
      <c r="M202" s="5">
        <v>0</v>
      </c>
      <c r="N202" s="6">
        <f>400000-L202-H202-F202-D202-Table3[[#This Row],[Column4]]</f>
        <v>318000</v>
      </c>
    </row>
    <row r="203" spans="1:14" x14ac:dyDescent="0.45">
      <c r="A203" s="10">
        <f t="shared" si="30"/>
        <v>202</v>
      </c>
      <c r="B203" s="5" t="s">
        <v>269</v>
      </c>
      <c r="C203" s="5" t="s">
        <v>24</v>
      </c>
      <c r="D203" s="5">
        <f t="shared" si="31"/>
        <v>0</v>
      </c>
      <c r="E203" s="5">
        <v>0</v>
      </c>
      <c r="F203" s="5">
        <f t="shared" si="32"/>
        <v>0</v>
      </c>
      <c r="G203" s="5">
        <v>0</v>
      </c>
      <c r="H203" s="5">
        <f t="shared" si="33"/>
        <v>0</v>
      </c>
      <c r="I203" s="5">
        <v>0</v>
      </c>
      <c r="J203" s="5">
        <f t="shared" si="34"/>
        <v>108000</v>
      </c>
      <c r="K203" s="5">
        <v>36</v>
      </c>
      <c r="L203" s="5">
        <f t="shared" si="35"/>
        <v>0</v>
      </c>
      <c r="M203" s="5">
        <v>0</v>
      </c>
      <c r="N203" s="6">
        <f>400000-L203-H203-F203-D203-Table3[[#This Row],[Column4]]</f>
        <v>292000</v>
      </c>
    </row>
    <row r="204" spans="1:14" x14ac:dyDescent="0.45">
      <c r="A204" s="10">
        <f t="shared" si="30"/>
        <v>203</v>
      </c>
      <c r="B204" s="5" t="s">
        <v>270</v>
      </c>
      <c r="C204" s="5" t="s">
        <v>24</v>
      </c>
      <c r="D204" s="5">
        <f t="shared" si="31"/>
        <v>80000</v>
      </c>
      <c r="E204" s="5">
        <v>4</v>
      </c>
      <c r="F204" s="5">
        <f t="shared" si="32"/>
        <v>0</v>
      </c>
      <c r="G204" s="5">
        <v>0</v>
      </c>
      <c r="H204" s="5">
        <f t="shared" si="33"/>
        <v>0</v>
      </c>
      <c r="I204" s="5">
        <v>0</v>
      </c>
      <c r="J204" s="5">
        <f t="shared" si="34"/>
        <v>12000</v>
      </c>
      <c r="K204" s="5">
        <v>4</v>
      </c>
      <c r="L204" s="5">
        <f t="shared" si="35"/>
        <v>0</v>
      </c>
      <c r="M204" s="5">
        <v>0</v>
      </c>
      <c r="N204" s="6">
        <f>400000-L204-H204-F204-D204-Table3[[#This Row],[Column4]]</f>
        <v>308000</v>
      </c>
    </row>
    <row r="205" spans="1:14" x14ac:dyDescent="0.45">
      <c r="A205" s="10">
        <f t="shared" si="30"/>
        <v>204</v>
      </c>
      <c r="B205" s="5" t="s">
        <v>271</v>
      </c>
      <c r="C205" s="5" t="s">
        <v>24</v>
      </c>
      <c r="D205" s="5">
        <f t="shared" si="31"/>
        <v>160000</v>
      </c>
      <c r="E205" s="5">
        <v>8</v>
      </c>
      <c r="F205" s="5">
        <f t="shared" si="32"/>
        <v>30000</v>
      </c>
      <c r="G205" s="5">
        <v>1</v>
      </c>
      <c r="H205" s="5">
        <f t="shared" si="33"/>
        <v>30000</v>
      </c>
      <c r="I205" s="5">
        <v>1</v>
      </c>
      <c r="J205" s="5">
        <f t="shared" si="34"/>
        <v>156000</v>
      </c>
      <c r="K205" s="5">
        <v>52</v>
      </c>
      <c r="L205" s="5">
        <f t="shared" si="35"/>
        <v>0</v>
      </c>
      <c r="M205" s="5">
        <v>0</v>
      </c>
      <c r="N205" s="6">
        <f>400000-L205-H205-F205-D205-Table3[[#This Row],[Column4]]</f>
        <v>24000</v>
      </c>
    </row>
    <row r="206" spans="1:14" x14ac:dyDescent="0.45">
      <c r="A206" s="10">
        <f t="shared" si="30"/>
        <v>205</v>
      </c>
      <c r="B206" s="5" t="s">
        <v>272</v>
      </c>
      <c r="C206" s="5" t="s">
        <v>24</v>
      </c>
      <c r="D206" s="5">
        <f t="shared" si="31"/>
        <v>0</v>
      </c>
      <c r="E206" s="5">
        <v>0</v>
      </c>
      <c r="F206" s="5">
        <f t="shared" si="32"/>
        <v>0</v>
      </c>
      <c r="G206" s="5">
        <v>0</v>
      </c>
      <c r="H206" s="5">
        <f t="shared" si="33"/>
        <v>0</v>
      </c>
      <c r="I206" s="5">
        <v>0</v>
      </c>
      <c r="J206" s="5">
        <f t="shared" si="34"/>
        <v>24000</v>
      </c>
      <c r="K206" s="5">
        <v>8</v>
      </c>
      <c r="L206" s="5">
        <f t="shared" si="35"/>
        <v>0</v>
      </c>
      <c r="M206" s="5">
        <v>0</v>
      </c>
      <c r="N206" s="6">
        <f>400000-L206-H206-F206-D206-Table3[[#This Row],[Column4]]</f>
        <v>376000</v>
      </c>
    </row>
    <row r="207" spans="1:14" x14ac:dyDescent="0.45">
      <c r="A207" s="10">
        <f t="shared" si="30"/>
        <v>206</v>
      </c>
      <c r="B207" s="5" t="s">
        <v>273</v>
      </c>
      <c r="C207" s="5" t="s">
        <v>24</v>
      </c>
      <c r="D207" s="5">
        <f t="shared" si="31"/>
        <v>0</v>
      </c>
      <c r="E207" s="5">
        <v>0</v>
      </c>
      <c r="F207" s="5">
        <f t="shared" si="32"/>
        <v>0</v>
      </c>
      <c r="G207" s="5">
        <v>0</v>
      </c>
      <c r="H207" s="5">
        <f t="shared" si="33"/>
        <v>0</v>
      </c>
      <c r="I207" s="5">
        <v>0</v>
      </c>
      <c r="J207" s="5">
        <f t="shared" si="34"/>
        <v>75000</v>
      </c>
      <c r="K207" s="5">
        <v>25</v>
      </c>
      <c r="L207" s="5">
        <f t="shared" si="35"/>
        <v>0</v>
      </c>
      <c r="M207" s="5">
        <v>0</v>
      </c>
      <c r="N207" s="6">
        <f>400000-L207-H207-F207-D207-Table3[[#This Row],[Column4]]</f>
        <v>325000</v>
      </c>
    </row>
    <row r="208" spans="1:14" x14ac:dyDescent="0.45">
      <c r="A208" s="10">
        <f t="shared" si="30"/>
        <v>207</v>
      </c>
      <c r="B208" s="5" t="s">
        <v>274</v>
      </c>
      <c r="C208" s="5" t="s">
        <v>24</v>
      </c>
      <c r="D208" s="5">
        <f t="shared" si="31"/>
        <v>80000</v>
      </c>
      <c r="E208" s="5">
        <v>4</v>
      </c>
      <c r="F208" s="5">
        <f t="shared" si="32"/>
        <v>0</v>
      </c>
      <c r="G208" s="5">
        <v>0</v>
      </c>
      <c r="H208" s="5">
        <f t="shared" si="33"/>
        <v>0</v>
      </c>
      <c r="I208" s="5">
        <v>0</v>
      </c>
      <c r="J208" s="5">
        <f t="shared" si="34"/>
        <v>36000</v>
      </c>
      <c r="K208" s="5">
        <v>12</v>
      </c>
      <c r="L208" s="5">
        <f t="shared" si="35"/>
        <v>0</v>
      </c>
      <c r="M208" s="5">
        <v>0</v>
      </c>
      <c r="N208" s="6">
        <f>400000-L208-H208-F208-D208-Table3[[#This Row],[Column4]]</f>
        <v>284000</v>
      </c>
    </row>
    <row r="209" spans="1:14" x14ac:dyDescent="0.45">
      <c r="A209" s="10">
        <f t="shared" si="30"/>
        <v>208</v>
      </c>
      <c r="B209" s="5" t="s">
        <v>275</v>
      </c>
      <c r="C209" s="5" t="s">
        <v>24</v>
      </c>
      <c r="D209" s="5">
        <f t="shared" si="31"/>
        <v>20000</v>
      </c>
      <c r="E209" s="5">
        <v>1</v>
      </c>
      <c r="F209" s="5">
        <f t="shared" si="32"/>
        <v>30000</v>
      </c>
      <c r="G209" s="5">
        <v>1</v>
      </c>
      <c r="H209" s="5">
        <f t="shared" si="33"/>
        <v>0</v>
      </c>
      <c r="I209" s="5">
        <v>0</v>
      </c>
      <c r="J209" s="5">
        <f t="shared" si="34"/>
        <v>96000</v>
      </c>
      <c r="K209" s="5">
        <v>32</v>
      </c>
      <c r="L209" s="5">
        <f t="shared" si="35"/>
        <v>0</v>
      </c>
      <c r="M209" s="5">
        <v>0</v>
      </c>
      <c r="N209" s="6">
        <f>400000-L209-H209-F209-D209-Table3[[#This Row],[Column4]]</f>
        <v>254000</v>
      </c>
    </row>
    <row r="210" spans="1:14" x14ac:dyDescent="0.45">
      <c r="A210" s="10">
        <f t="shared" si="30"/>
        <v>209</v>
      </c>
      <c r="B210" s="5" t="s">
        <v>276</v>
      </c>
      <c r="C210" s="5" t="s">
        <v>24</v>
      </c>
      <c r="D210" s="5">
        <f t="shared" si="31"/>
        <v>0</v>
      </c>
      <c r="E210" s="5">
        <v>0</v>
      </c>
      <c r="F210" s="5">
        <f t="shared" si="32"/>
        <v>0</v>
      </c>
      <c r="G210" s="5">
        <v>0</v>
      </c>
      <c r="H210" s="5">
        <f t="shared" si="33"/>
        <v>0</v>
      </c>
      <c r="I210" s="5">
        <v>0</v>
      </c>
      <c r="J210" s="5">
        <f t="shared" si="34"/>
        <v>18000</v>
      </c>
      <c r="K210" s="5">
        <v>6</v>
      </c>
      <c r="L210" s="5">
        <f t="shared" si="35"/>
        <v>0</v>
      </c>
      <c r="M210" s="5">
        <v>0</v>
      </c>
      <c r="N210" s="6">
        <f>400000-L210-H210-F210-D210-Table3[[#This Row],[Column4]]</f>
        <v>382000</v>
      </c>
    </row>
    <row r="211" spans="1:14" x14ac:dyDescent="0.45">
      <c r="A211" s="10">
        <f t="shared" si="30"/>
        <v>210</v>
      </c>
      <c r="B211" s="5" t="s">
        <v>277</v>
      </c>
      <c r="C211" s="5" t="s">
        <v>24</v>
      </c>
      <c r="D211" s="5">
        <f t="shared" si="31"/>
        <v>0</v>
      </c>
      <c r="E211" s="5">
        <v>0</v>
      </c>
      <c r="F211" s="5">
        <f t="shared" si="32"/>
        <v>0</v>
      </c>
      <c r="G211" s="5">
        <v>0</v>
      </c>
      <c r="H211" s="5">
        <f t="shared" si="33"/>
        <v>0</v>
      </c>
      <c r="I211" s="5">
        <v>0</v>
      </c>
      <c r="J211" s="5">
        <f t="shared" si="34"/>
        <v>63000</v>
      </c>
      <c r="K211" s="5">
        <v>21</v>
      </c>
      <c r="L211" s="5">
        <f t="shared" si="35"/>
        <v>15000</v>
      </c>
      <c r="M211" s="5">
        <v>1</v>
      </c>
      <c r="N211" s="6">
        <f>400000-L211-H211-F211-D211-Table3[[#This Row],[Column4]]</f>
        <v>322000</v>
      </c>
    </row>
    <row r="212" spans="1:14" x14ac:dyDescent="0.45">
      <c r="A212" s="10">
        <f t="shared" si="30"/>
        <v>211</v>
      </c>
      <c r="B212" s="5" t="s">
        <v>278</v>
      </c>
      <c r="C212" s="5" t="s">
        <v>24</v>
      </c>
      <c r="D212" s="5">
        <f t="shared" si="31"/>
        <v>180000</v>
      </c>
      <c r="E212" s="5">
        <v>9</v>
      </c>
      <c r="F212" s="5">
        <f t="shared" si="32"/>
        <v>0</v>
      </c>
      <c r="G212" s="5">
        <v>0</v>
      </c>
      <c r="H212" s="5">
        <f t="shared" si="33"/>
        <v>0</v>
      </c>
      <c r="I212" s="5">
        <v>0</v>
      </c>
      <c r="J212" s="5">
        <f t="shared" si="34"/>
        <v>162000</v>
      </c>
      <c r="K212" s="5">
        <v>54</v>
      </c>
      <c r="L212" s="5">
        <f t="shared" si="35"/>
        <v>15000</v>
      </c>
      <c r="M212" s="5">
        <v>1</v>
      </c>
      <c r="N212" s="6">
        <f>400000-L212-H212-F212-D212-Table3[[#This Row],[Column4]]</f>
        <v>43000</v>
      </c>
    </row>
    <row r="213" spans="1:14" x14ac:dyDescent="0.45">
      <c r="A213" s="10">
        <f>ROW(A213)-1</f>
        <v>212</v>
      </c>
      <c r="B213" s="5" t="s">
        <v>279</v>
      </c>
      <c r="C213" s="5" t="s">
        <v>24</v>
      </c>
      <c r="D213" s="5">
        <f>E213*20000</f>
        <v>0</v>
      </c>
      <c r="E213" s="5">
        <v>0</v>
      </c>
      <c r="F213" s="5">
        <f>G213*30000</f>
        <v>0</v>
      </c>
      <c r="G213" s="5">
        <v>0</v>
      </c>
      <c r="H213" s="5">
        <v>0</v>
      </c>
      <c r="I213" s="5">
        <v>0</v>
      </c>
      <c r="J213" s="5">
        <f t="shared" si="34"/>
        <v>45000</v>
      </c>
      <c r="K213" s="5">
        <v>15</v>
      </c>
      <c r="L213" s="5">
        <f t="shared" si="35"/>
        <v>0</v>
      </c>
      <c r="M213" s="5">
        <v>0</v>
      </c>
      <c r="N213" s="6">
        <f>400000-L213-H213-F213-D213-Table3[[#This Row],[Column4]]</f>
        <v>355000</v>
      </c>
    </row>
    <row r="214" spans="1:14" x14ac:dyDescent="0.45">
      <c r="A214" s="10">
        <f t="shared" ref="A214:A243" si="36">ROW(A214)-1</f>
        <v>213</v>
      </c>
      <c r="B214" s="5" t="s">
        <v>280</v>
      </c>
      <c r="C214" s="5" t="s">
        <v>24</v>
      </c>
      <c r="D214" s="5">
        <f t="shared" ref="D214:D243" si="37">E214*20000</f>
        <v>0</v>
      </c>
      <c r="E214" s="5">
        <v>0</v>
      </c>
      <c r="F214" s="5">
        <f t="shared" ref="F214:F243" si="38">G214*30000</f>
        <v>30000</v>
      </c>
      <c r="G214" s="5">
        <v>1</v>
      </c>
      <c r="H214" s="5">
        <v>0</v>
      </c>
      <c r="I214" s="5">
        <v>0</v>
      </c>
      <c r="J214" s="5">
        <f t="shared" si="34"/>
        <v>90000</v>
      </c>
      <c r="K214" s="5">
        <v>30</v>
      </c>
      <c r="L214" s="5">
        <f t="shared" si="35"/>
        <v>0</v>
      </c>
      <c r="M214" s="5">
        <v>0</v>
      </c>
      <c r="N214" s="6">
        <f>400000-L214-H214-F214-D214-Table3[[#This Row],[Column4]]</f>
        <v>280000</v>
      </c>
    </row>
    <row r="215" spans="1:14" x14ac:dyDescent="0.45">
      <c r="A215" s="10">
        <f t="shared" si="36"/>
        <v>214</v>
      </c>
      <c r="B215" s="5" t="s">
        <v>281</v>
      </c>
      <c r="C215" s="5" t="s">
        <v>24</v>
      </c>
      <c r="D215" s="5">
        <f t="shared" si="37"/>
        <v>20000</v>
      </c>
      <c r="E215" s="5">
        <v>1</v>
      </c>
      <c r="F215" s="5">
        <f t="shared" si="38"/>
        <v>30000</v>
      </c>
      <c r="G215" s="5">
        <v>1</v>
      </c>
      <c r="H215" s="5">
        <v>0</v>
      </c>
      <c r="I215" s="5">
        <v>0</v>
      </c>
      <c r="J215" s="5">
        <f t="shared" si="34"/>
        <v>24000</v>
      </c>
      <c r="K215" s="5">
        <v>8</v>
      </c>
      <c r="L215" s="5">
        <f t="shared" si="35"/>
        <v>0</v>
      </c>
      <c r="M215" s="5">
        <v>0</v>
      </c>
      <c r="N215" s="6">
        <f>400000-L215-H215-F215-D215-Table3[[#This Row],[Column4]]</f>
        <v>326000</v>
      </c>
    </row>
    <row r="216" spans="1:14" x14ac:dyDescent="0.45">
      <c r="A216" s="10">
        <f t="shared" si="36"/>
        <v>215</v>
      </c>
      <c r="B216" s="5" t="s">
        <v>282</v>
      </c>
      <c r="C216" s="5" t="s">
        <v>24</v>
      </c>
      <c r="D216" s="5">
        <f t="shared" si="37"/>
        <v>0</v>
      </c>
      <c r="E216" s="5">
        <v>0</v>
      </c>
      <c r="F216" s="5">
        <f t="shared" si="38"/>
        <v>0</v>
      </c>
      <c r="G216" s="5">
        <v>0</v>
      </c>
      <c r="H216" s="5">
        <v>0</v>
      </c>
      <c r="I216" s="5">
        <v>0</v>
      </c>
      <c r="J216" s="5">
        <f t="shared" si="34"/>
        <v>66000</v>
      </c>
      <c r="K216" s="5">
        <v>22</v>
      </c>
      <c r="L216" s="5">
        <f t="shared" si="35"/>
        <v>0</v>
      </c>
      <c r="M216" s="5">
        <v>0</v>
      </c>
      <c r="N216" s="6">
        <f>400000-L216-H216-F216-D216-Table3[[#This Row],[Column4]]</f>
        <v>334000</v>
      </c>
    </row>
    <row r="217" spans="1:14" x14ac:dyDescent="0.45">
      <c r="A217" s="10">
        <f t="shared" si="36"/>
        <v>216</v>
      </c>
      <c r="B217" s="5" t="s">
        <v>283</v>
      </c>
      <c r="C217" s="5" t="s">
        <v>24</v>
      </c>
      <c r="D217" s="5">
        <f t="shared" si="37"/>
        <v>0</v>
      </c>
      <c r="E217" s="5">
        <v>0</v>
      </c>
      <c r="F217" s="5">
        <f t="shared" si="38"/>
        <v>0</v>
      </c>
      <c r="G217" s="5">
        <v>0</v>
      </c>
      <c r="H217" s="5">
        <v>0</v>
      </c>
      <c r="I217" s="5">
        <v>0</v>
      </c>
      <c r="J217" s="5">
        <f t="shared" si="34"/>
        <v>174000</v>
      </c>
      <c r="K217" s="5">
        <v>58</v>
      </c>
      <c r="L217" s="5">
        <f t="shared" si="35"/>
        <v>0</v>
      </c>
      <c r="M217" s="5">
        <v>0</v>
      </c>
      <c r="N217" s="6">
        <f>400000-L217-H217-F217-D217-Table3[[#This Row],[Column4]]</f>
        <v>226000</v>
      </c>
    </row>
    <row r="218" spans="1:14" x14ac:dyDescent="0.45">
      <c r="A218" s="10">
        <f t="shared" si="36"/>
        <v>217</v>
      </c>
      <c r="B218" s="5" t="s">
        <v>284</v>
      </c>
      <c r="C218" s="5" t="s">
        <v>24</v>
      </c>
      <c r="D218" s="5">
        <f t="shared" si="37"/>
        <v>0</v>
      </c>
      <c r="E218" s="5">
        <v>0</v>
      </c>
      <c r="F218" s="5">
        <f t="shared" si="38"/>
        <v>0</v>
      </c>
      <c r="G218" s="5">
        <v>0</v>
      </c>
      <c r="H218" s="5">
        <v>0</v>
      </c>
      <c r="I218" s="5">
        <v>0</v>
      </c>
      <c r="J218" s="5">
        <f t="shared" si="34"/>
        <v>36000</v>
      </c>
      <c r="K218" s="5">
        <v>12</v>
      </c>
      <c r="L218" s="5">
        <f t="shared" si="35"/>
        <v>0</v>
      </c>
      <c r="M218" s="5">
        <v>0</v>
      </c>
      <c r="N218" s="6">
        <f>400000-L218-H218-F218-D218-Table3[[#This Row],[Column4]]</f>
        <v>364000</v>
      </c>
    </row>
    <row r="219" spans="1:14" x14ac:dyDescent="0.45">
      <c r="A219" s="10">
        <f t="shared" si="36"/>
        <v>218</v>
      </c>
      <c r="B219" s="5" t="s">
        <v>285</v>
      </c>
      <c r="C219" s="5" t="s">
        <v>24</v>
      </c>
      <c r="D219" s="5">
        <f t="shared" si="37"/>
        <v>0</v>
      </c>
      <c r="E219" s="5">
        <v>0</v>
      </c>
      <c r="F219" s="5">
        <f t="shared" si="38"/>
        <v>0</v>
      </c>
      <c r="G219" s="5">
        <v>0</v>
      </c>
      <c r="H219" s="5">
        <v>0</v>
      </c>
      <c r="I219" s="5">
        <v>0</v>
      </c>
      <c r="J219" s="5">
        <f t="shared" si="34"/>
        <v>153000</v>
      </c>
      <c r="K219" s="5">
        <v>51</v>
      </c>
      <c r="L219" s="5">
        <f t="shared" si="35"/>
        <v>0</v>
      </c>
      <c r="M219" s="5">
        <v>0</v>
      </c>
      <c r="N219" s="6">
        <f>400000-L219-H219-F219-D219-Table3[[#This Row],[Column4]]</f>
        <v>247000</v>
      </c>
    </row>
    <row r="220" spans="1:14" x14ac:dyDescent="0.45">
      <c r="A220" s="10">
        <f t="shared" si="36"/>
        <v>219</v>
      </c>
      <c r="B220" s="5" t="s">
        <v>286</v>
      </c>
      <c r="C220" s="5" t="s">
        <v>24</v>
      </c>
      <c r="D220" s="5">
        <f t="shared" si="37"/>
        <v>0</v>
      </c>
      <c r="E220" s="5">
        <v>0</v>
      </c>
      <c r="F220" s="5">
        <f t="shared" si="38"/>
        <v>0</v>
      </c>
      <c r="G220" s="5">
        <v>0</v>
      </c>
      <c r="H220" s="5">
        <v>0</v>
      </c>
      <c r="I220" s="5">
        <v>0</v>
      </c>
      <c r="J220" s="5">
        <f t="shared" si="34"/>
        <v>210000</v>
      </c>
      <c r="K220" s="5">
        <v>70</v>
      </c>
      <c r="L220" s="5">
        <f t="shared" si="35"/>
        <v>0</v>
      </c>
      <c r="M220" s="5">
        <v>0</v>
      </c>
      <c r="N220" s="6">
        <f>400000-L220-H220-F220-D220-Table3[[#This Row],[Column4]]</f>
        <v>190000</v>
      </c>
    </row>
    <row r="221" spans="1:14" x14ac:dyDescent="0.45">
      <c r="A221" s="10">
        <f t="shared" si="36"/>
        <v>220</v>
      </c>
      <c r="B221" s="5" t="s">
        <v>287</v>
      </c>
      <c r="C221" s="5" t="s">
        <v>24</v>
      </c>
      <c r="D221" s="5">
        <f t="shared" si="37"/>
        <v>20000</v>
      </c>
      <c r="E221" s="5">
        <v>1</v>
      </c>
      <c r="F221" s="5">
        <f t="shared" si="38"/>
        <v>0</v>
      </c>
      <c r="G221" s="5">
        <v>0</v>
      </c>
      <c r="H221" s="5">
        <v>0</v>
      </c>
      <c r="I221" s="5">
        <v>1</v>
      </c>
      <c r="J221" s="5">
        <f t="shared" si="34"/>
        <v>147000</v>
      </c>
      <c r="K221" s="5">
        <v>49</v>
      </c>
      <c r="L221" s="5">
        <f t="shared" si="35"/>
        <v>15000</v>
      </c>
      <c r="M221" s="5">
        <v>1</v>
      </c>
      <c r="N221" s="6">
        <f>400000-L221-H221-F221-D221-Table3[[#This Row],[Column4]]</f>
        <v>218000</v>
      </c>
    </row>
    <row r="222" spans="1:14" x14ac:dyDescent="0.45">
      <c r="A222" s="10">
        <f t="shared" si="36"/>
        <v>221</v>
      </c>
      <c r="B222" s="5" t="s">
        <v>288</v>
      </c>
      <c r="C222" s="5" t="s">
        <v>24</v>
      </c>
      <c r="D222" s="5">
        <f t="shared" si="37"/>
        <v>20000</v>
      </c>
      <c r="E222" s="5">
        <v>1</v>
      </c>
      <c r="F222" s="5">
        <f t="shared" si="38"/>
        <v>0</v>
      </c>
      <c r="G222" s="5">
        <v>0</v>
      </c>
      <c r="H222" s="5">
        <v>0</v>
      </c>
      <c r="I222" s="5">
        <v>0</v>
      </c>
      <c r="J222" s="5">
        <f t="shared" si="34"/>
        <v>126000</v>
      </c>
      <c r="K222" s="5">
        <v>42</v>
      </c>
      <c r="L222" s="5">
        <f t="shared" si="35"/>
        <v>30000</v>
      </c>
      <c r="M222" s="5">
        <v>2</v>
      </c>
      <c r="N222" s="6">
        <f>400000-L222-H222-F222-D222-Table3[[#This Row],[Column4]]</f>
        <v>224000</v>
      </c>
    </row>
    <row r="223" spans="1:14" x14ac:dyDescent="0.45">
      <c r="A223" s="10">
        <f t="shared" si="36"/>
        <v>222</v>
      </c>
      <c r="B223" s="5" t="s">
        <v>289</v>
      </c>
      <c r="C223" s="5" t="s">
        <v>24</v>
      </c>
      <c r="D223" s="5">
        <f t="shared" si="37"/>
        <v>0</v>
      </c>
      <c r="E223" s="5">
        <v>0</v>
      </c>
      <c r="F223" s="5">
        <f t="shared" si="38"/>
        <v>0</v>
      </c>
      <c r="G223" s="5">
        <v>0</v>
      </c>
      <c r="H223" s="5">
        <v>0</v>
      </c>
      <c r="I223" s="5">
        <v>0</v>
      </c>
      <c r="J223" s="5">
        <f t="shared" si="34"/>
        <v>30000</v>
      </c>
      <c r="K223" s="5">
        <v>10</v>
      </c>
      <c r="L223" s="5">
        <f t="shared" si="35"/>
        <v>15000</v>
      </c>
      <c r="M223" s="5">
        <v>1</v>
      </c>
      <c r="N223" s="6">
        <f>400000-L223-H223-F223-D223-Table3[[#This Row],[Column4]]</f>
        <v>355000</v>
      </c>
    </row>
    <row r="224" spans="1:14" x14ac:dyDescent="0.45">
      <c r="A224" s="10">
        <f t="shared" si="36"/>
        <v>223</v>
      </c>
      <c r="B224" s="5" t="s">
        <v>290</v>
      </c>
      <c r="C224" s="5" t="s">
        <v>24</v>
      </c>
      <c r="D224" s="5">
        <f t="shared" si="37"/>
        <v>0</v>
      </c>
      <c r="E224" s="5">
        <v>0</v>
      </c>
      <c r="F224" s="5">
        <f t="shared" si="38"/>
        <v>0</v>
      </c>
      <c r="G224" s="5">
        <v>0</v>
      </c>
      <c r="H224" s="5">
        <v>0</v>
      </c>
      <c r="I224" s="5">
        <v>1</v>
      </c>
      <c r="J224" s="5">
        <f t="shared" si="34"/>
        <v>81000</v>
      </c>
      <c r="K224" s="5">
        <v>27</v>
      </c>
      <c r="L224" s="5">
        <f t="shared" si="35"/>
        <v>15000</v>
      </c>
      <c r="M224" s="5">
        <v>1</v>
      </c>
      <c r="N224" s="6">
        <f>400000-L224-H224-F224-D224-Table3[[#This Row],[Column4]]</f>
        <v>304000</v>
      </c>
    </row>
    <row r="225" spans="1:14" x14ac:dyDescent="0.45">
      <c r="A225" s="10">
        <f t="shared" si="36"/>
        <v>224</v>
      </c>
      <c r="B225" s="5" t="s">
        <v>291</v>
      </c>
      <c r="C225" s="5" t="s">
        <v>24</v>
      </c>
      <c r="D225" s="5">
        <f t="shared" si="37"/>
        <v>20000</v>
      </c>
      <c r="E225" s="5">
        <v>1</v>
      </c>
      <c r="F225" s="5">
        <f t="shared" si="38"/>
        <v>0</v>
      </c>
      <c r="G225" s="5">
        <v>0</v>
      </c>
      <c r="H225" s="5">
        <v>0</v>
      </c>
      <c r="I225" s="5">
        <v>0</v>
      </c>
      <c r="J225" s="5">
        <f t="shared" si="34"/>
        <v>39000</v>
      </c>
      <c r="K225" s="5">
        <v>13</v>
      </c>
      <c r="L225" s="5">
        <f t="shared" si="35"/>
        <v>30000</v>
      </c>
      <c r="M225" s="5">
        <v>2</v>
      </c>
      <c r="N225" s="6">
        <f>400000-L225-H225-F225-D225-Table3[[#This Row],[Column4]]</f>
        <v>311000</v>
      </c>
    </row>
    <row r="226" spans="1:14" x14ac:dyDescent="0.45">
      <c r="A226" s="10">
        <f t="shared" si="36"/>
        <v>225</v>
      </c>
      <c r="B226" s="5" t="s">
        <v>292</v>
      </c>
      <c r="C226" s="5" t="s">
        <v>24</v>
      </c>
      <c r="D226" s="5">
        <f t="shared" si="37"/>
        <v>0</v>
      </c>
      <c r="E226" s="5">
        <v>0</v>
      </c>
      <c r="F226" s="5">
        <f t="shared" si="38"/>
        <v>0</v>
      </c>
      <c r="G226" s="5">
        <v>0</v>
      </c>
      <c r="H226" s="5">
        <v>0</v>
      </c>
      <c r="I226" s="5">
        <v>0</v>
      </c>
      <c r="J226" s="5">
        <f t="shared" si="34"/>
        <v>42000</v>
      </c>
      <c r="K226" s="5">
        <v>14</v>
      </c>
      <c r="L226" s="5">
        <f t="shared" si="35"/>
        <v>15000</v>
      </c>
      <c r="M226" s="5">
        <v>1</v>
      </c>
      <c r="N226" s="6">
        <f>400000-L226-H226-F226-D226-Table3[[#This Row],[Column4]]</f>
        <v>343000</v>
      </c>
    </row>
    <row r="227" spans="1:14" x14ac:dyDescent="0.45">
      <c r="A227" s="10">
        <f t="shared" si="36"/>
        <v>226</v>
      </c>
      <c r="B227" s="5" t="s">
        <v>293</v>
      </c>
      <c r="C227" s="5" t="s">
        <v>24</v>
      </c>
      <c r="D227" s="5">
        <f t="shared" si="37"/>
        <v>0</v>
      </c>
      <c r="E227" s="5">
        <v>0</v>
      </c>
      <c r="F227" s="5">
        <f t="shared" si="38"/>
        <v>0</v>
      </c>
      <c r="G227" s="5">
        <v>0</v>
      </c>
      <c r="H227" s="5">
        <v>0</v>
      </c>
      <c r="I227" s="5">
        <v>0</v>
      </c>
      <c r="J227" s="5">
        <f t="shared" si="34"/>
        <v>75000</v>
      </c>
      <c r="K227" s="5">
        <v>25</v>
      </c>
      <c r="L227" s="5">
        <f t="shared" si="35"/>
        <v>0</v>
      </c>
      <c r="M227" s="5">
        <v>0</v>
      </c>
      <c r="N227" s="6">
        <f>400000-L227-H227-F227-D227-Table3[[#This Row],[Column4]]</f>
        <v>325000</v>
      </c>
    </row>
    <row r="228" spans="1:14" x14ac:dyDescent="0.45">
      <c r="A228" s="10">
        <f t="shared" si="36"/>
        <v>227</v>
      </c>
      <c r="B228" s="5" t="s">
        <v>294</v>
      </c>
      <c r="C228" s="5" t="s">
        <v>24</v>
      </c>
      <c r="D228" s="5">
        <f t="shared" si="37"/>
        <v>40000</v>
      </c>
      <c r="E228" s="5">
        <v>2</v>
      </c>
      <c r="F228" s="5">
        <f t="shared" si="38"/>
        <v>0</v>
      </c>
      <c r="G228" s="5">
        <v>0</v>
      </c>
      <c r="H228" s="5">
        <v>0</v>
      </c>
      <c r="I228" s="5">
        <v>1</v>
      </c>
      <c r="J228" s="5">
        <f t="shared" si="34"/>
        <v>57000</v>
      </c>
      <c r="K228" s="5">
        <v>19</v>
      </c>
      <c r="L228" s="5">
        <f t="shared" si="35"/>
        <v>0</v>
      </c>
      <c r="M228" s="5">
        <v>0</v>
      </c>
      <c r="N228" s="6">
        <f>400000-L228-H228-F228-D228-Table3[[#This Row],[Column4]]</f>
        <v>303000</v>
      </c>
    </row>
    <row r="229" spans="1:14" x14ac:dyDescent="0.45">
      <c r="A229" s="10">
        <f t="shared" si="36"/>
        <v>228</v>
      </c>
      <c r="B229" s="5" t="s">
        <v>295</v>
      </c>
      <c r="C229" s="5" t="s">
        <v>24</v>
      </c>
      <c r="D229" s="5">
        <f t="shared" si="37"/>
        <v>0</v>
      </c>
      <c r="E229" s="5">
        <v>0</v>
      </c>
      <c r="F229" s="5">
        <f t="shared" si="38"/>
        <v>0</v>
      </c>
      <c r="G229" s="5">
        <v>0</v>
      </c>
      <c r="H229" s="5">
        <v>0</v>
      </c>
      <c r="I229" s="5">
        <v>0</v>
      </c>
      <c r="J229" s="5">
        <f t="shared" si="34"/>
        <v>27000</v>
      </c>
      <c r="K229" s="5">
        <v>9</v>
      </c>
      <c r="L229" s="5">
        <f t="shared" si="35"/>
        <v>0</v>
      </c>
      <c r="M229" s="5">
        <v>0</v>
      </c>
      <c r="N229" s="6">
        <f>400000-L229-H229-F229-D229-Table3[[#This Row],[Column4]]</f>
        <v>373000</v>
      </c>
    </row>
    <row r="230" spans="1:14" x14ac:dyDescent="0.45">
      <c r="A230" s="10">
        <f t="shared" si="36"/>
        <v>229</v>
      </c>
      <c r="B230" s="5" t="s">
        <v>296</v>
      </c>
      <c r="C230" s="5" t="s">
        <v>24</v>
      </c>
      <c r="D230" s="5">
        <f t="shared" si="37"/>
        <v>20000</v>
      </c>
      <c r="E230" s="5">
        <v>1</v>
      </c>
      <c r="F230" s="5">
        <f t="shared" si="38"/>
        <v>0</v>
      </c>
      <c r="G230" s="5">
        <v>0</v>
      </c>
      <c r="H230" s="5">
        <v>0</v>
      </c>
      <c r="I230" s="5">
        <v>1</v>
      </c>
      <c r="J230" s="5">
        <f t="shared" si="34"/>
        <v>42000</v>
      </c>
      <c r="K230" s="5">
        <v>14</v>
      </c>
      <c r="L230" s="5">
        <f t="shared" si="35"/>
        <v>0</v>
      </c>
      <c r="M230" s="5">
        <v>0</v>
      </c>
      <c r="N230" s="6">
        <f>400000-L230-H230-F230-D230-Table3[[#This Row],[Column4]]</f>
        <v>338000</v>
      </c>
    </row>
    <row r="231" spans="1:14" x14ac:dyDescent="0.45">
      <c r="A231" s="10">
        <f t="shared" si="36"/>
        <v>230</v>
      </c>
      <c r="B231" s="5" t="s">
        <v>297</v>
      </c>
      <c r="C231" s="5" t="s">
        <v>24</v>
      </c>
      <c r="D231" s="5">
        <f t="shared" si="37"/>
        <v>0</v>
      </c>
      <c r="E231" s="5">
        <v>0</v>
      </c>
      <c r="F231" s="5">
        <f t="shared" si="38"/>
        <v>0</v>
      </c>
      <c r="G231" s="5">
        <v>0</v>
      </c>
      <c r="H231" s="5">
        <v>0</v>
      </c>
      <c r="I231" s="5">
        <v>0</v>
      </c>
      <c r="J231" s="5">
        <f t="shared" si="34"/>
        <v>6000</v>
      </c>
      <c r="K231" s="5">
        <v>2</v>
      </c>
      <c r="L231" s="5">
        <f t="shared" si="35"/>
        <v>0</v>
      </c>
      <c r="M231" s="5">
        <v>0</v>
      </c>
      <c r="N231" s="6">
        <f>400000-L231-H231-F231-D231-Table3[[#This Row],[Column4]]</f>
        <v>394000</v>
      </c>
    </row>
    <row r="232" spans="1:14" x14ac:dyDescent="0.45">
      <c r="A232" s="10">
        <f t="shared" si="36"/>
        <v>231</v>
      </c>
      <c r="B232" s="5" t="s">
        <v>298</v>
      </c>
      <c r="C232" s="5" t="s">
        <v>24</v>
      </c>
      <c r="D232" s="5">
        <f t="shared" si="37"/>
        <v>0</v>
      </c>
      <c r="E232" s="5">
        <v>0</v>
      </c>
      <c r="F232" s="5">
        <f t="shared" si="38"/>
        <v>0</v>
      </c>
      <c r="G232" s="5">
        <v>0</v>
      </c>
      <c r="H232" s="5">
        <v>0</v>
      </c>
      <c r="I232" s="5">
        <v>0</v>
      </c>
      <c r="J232" s="5">
        <f t="shared" si="34"/>
        <v>63000</v>
      </c>
      <c r="K232" s="5">
        <v>21</v>
      </c>
      <c r="L232" s="5">
        <f t="shared" si="35"/>
        <v>0</v>
      </c>
      <c r="M232" s="5">
        <v>0</v>
      </c>
      <c r="N232" s="6">
        <f>400000-L232-H232-F232-D232-Table3[[#This Row],[Column4]]</f>
        <v>337000</v>
      </c>
    </row>
    <row r="233" spans="1:14" x14ac:dyDescent="0.45">
      <c r="A233" s="10">
        <f t="shared" si="36"/>
        <v>232</v>
      </c>
      <c r="B233" s="5" t="s">
        <v>299</v>
      </c>
      <c r="C233" s="5" t="s">
        <v>24</v>
      </c>
      <c r="D233" s="5">
        <f t="shared" si="37"/>
        <v>80000</v>
      </c>
      <c r="E233" s="5">
        <v>4</v>
      </c>
      <c r="F233" s="5">
        <f t="shared" si="38"/>
        <v>0</v>
      </c>
      <c r="G233" s="5">
        <v>0</v>
      </c>
      <c r="H233" s="5">
        <v>0</v>
      </c>
      <c r="I233" s="5">
        <v>0</v>
      </c>
      <c r="J233" s="5">
        <f t="shared" si="34"/>
        <v>162000</v>
      </c>
      <c r="K233" s="5">
        <v>54</v>
      </c>
      <c r="L233" s="5">
        <f t="shared" si="35"/>
        <v>15000</v>
      </c>
      <c r="M233" s="5">
        <v>1</v>
      </c>
      <c r="N233" s="6">
        <f>400000-L233-H233-F233-D233-Table3[[#This Row],[Column4]]</f>
        <v>143000</v>
      </c>
    </row>
    <row r="234" spans="1:14" x14ac:dyDescent="0.45">
      <c r="A234" s="10">
        <f t="shared" si="36"/>
        <v>233</v>
      </c>
      <c r="B234" s="5" t="s">
        <v>300</v>
      </c>
      <c r="C234" s="5" t="s">
        <v>24</v>
      </c>
      <c r="D234" s="5">
        <f t="shared" si="37"/>
        <v>0</v>
      </c>
      <c r="E234" s="5">
        <v>0</v>
      </c>
      <c r="F234" s="5">
        <f t="shared" si="38"/>
        <v>30000</v>
      </c>
      <c r="G234" s="5">
        <v>1</v>
      </c>
      <c r="H234" s="5">
        <v>0</v>
      </c>
      <c r="I234" s="5">
        <v>0</v>
      </c>
      <c r="J234" s="5">
        <f t="shared" si="34"/>
        <v>66000</v>
      </c>
      <c r="K234" s="5">
        <v>22</v>
      </c>
      <c r="L234" s="5">
        <f t="shared" si="35"/>
        <v>0</v>
      </c>
      <c r="M234" s="5">
        <v>0</v>
      </c>
      <c r="N234" s="6">
        <f>400000-L234-H234-F234-D234-Table3[[#This Row],[Column4]]</f>
        <v>304000</v>
      </c>
    </row>
    <row r="235" spans="1:14" x14ac:dyDescent="0.45">
      <c r="A235" s="10">
        <f t="shared" si="36"/>
        <v>234</v>
      </c>
      <c r="B235" s="5" t="s">
        <v>301</v>
      </c>
      <c r="C235" s="5" t="s">
        <v>24</v>
      </c>
      <c r="D235" s="5">
        <f t="shared" si="37"/>
        <v>20000</v>
      </c>
      <c r="E235" s="5">
        <v>1</v>
      </c>
      <c r="F235" s="5">
        <f t="shared" si="38"/>
        <v>0</v>
      </c>
      <c r="G235" s="5">
        <v>0</v>
      </c>
      <c r="H235" s="5">
        <v>0</v>
      </c>
      <c r="I235" s="5">
        <v>0</v>
      </c>
      <c r="J235" s="5">
        <f t="shared" si="34"/>
        <v>48000</v>
      </c>
      <c r="K235" s="5">
        <v>16</v>
      </c>
      <c r="L235" s="5">
        <f t="shared" si="35"/>
        <v>0</v>
      </c>
      <c r="M235" s="5">
        <v>0</v>
      </c>
      <c r="N235" s="6">
        <f>400000-L235-H235-F235-D235-Table3[[#This Row],[Column4]]</f>
        <v>332000</v>
      </c>
    </row>
    <row r="236" spans="1:14" x14ac:dyDescent="0.45">
      <c r="A236" s="10">
        <f t="shared" si="36"/>
        <v>235</v>
      </c>
      <c r="B236" s="5" t="s">
        <v>302</v>
      </c>
      <c r="C236" s="5" t="s">
        <v>24</v>
      </c>
      <c r="D236" s="5">
        <f t="shared" si="37"/>
        <v>20000</v>
      </c>
      <c r="E236" s="5">
        <v>1</v>
      </c>
      <c r="F236" s="5">
        <f t="shared" si="38"/>
        <v>0</v>
      </c>
      <c r="G236" s="5">
        <v>0</v>
      </c>
      <c r="H236" s="5">
        <v>0</v>
      </c>
      <c r="I236" s="5">
        <v>0</v>
      </c>
      <c r="J236" s="5">
        <f t="shared" si="34"/>
        <v>48000</v>
      </c>
      <c r="K236" s="5">
        <v>16</v>
      </c>
      <c r="L236" s="5">
        <f t="shared" si="35"/>
        <v>0</v>
      </c>
      <c r="M236" s="5">
        <v>0</v>
      </c>
      <c r="N236" s="6">
        <f>400000-L236-H236-F236-D236-Table3[[#This Row],[Column4]]</f>
        <v>332000</v>
      </c>
    </row>
    <row r="237" spans="1:14" x14ac:dyDescent="0.45">
      <c r="A237" s="10">
        <f t="shared" si="36"/>
        <v>236</v>
      </c>
      <c r="B237" s="5" t="s">
        <v>303</v>
      </c>
      <c r="C237" s="5" t="s">
        <v>24</v>
      </c>
      <c r="D237" s="5">
        <f t="shared" si="37"/>
        <v>0</v>
      </c>
      <c r="E237" s="5">
        <v>0</v>
      </c>
      <c r="F237" s="5">
        <f t="shared" si="38"/>
        <v>30000</v>
      </c>
      <c r="G237" s="5">
        <v>1</v>
      </c>
      <c r="H237" s="5">
        <v>0</v>
      </c>
      <c r="I237" s="5">
        <v>0</v>
      </c>
      <c r="J237" s="5">
        <f t="shared" si="34"/>
        <v>27000</v>
      </c>
      <c r="K237" s="5">
        <v>9</v>
      </c>
      <c r="L237" s="5">
        <f t="shared" si="35"/>
        <v>30000</v>
      </c>
      <c r="M237" s="5">
        <v>2</v>
      </c>
      <c r="N237" s="6">
        <f>400000-L237-H237-F237-D237-Table3[[#This Row],[Column4]]</f>
        <v>313000</v>
      </c>
    </row>
    <row r="238" spans="1:14" x14ac:dyDescent="0.45">
      <c r="A238" s="10">
        <f t="shared" si="36"/>
        <v>237</v>
      </c>
      <c r="B238" s="5" t="s">
        <v>304</v>
      </c>
      <c r="C238" s="5" t="s">
        <v>24</v>
      </c>
      <c r="D238" s="5">
        <f t="shared" si="37"/>
        <v>20000</v>
      </c>
      <c r="E238" s="5">
        <v>1</v>
      </c>
      <c r="F238" s="5">
        <f t="shared" si="38"/>
        <v>0</v>
      </c>
      <c r="G238" s="5">
        <v>0</v>
      </c>
      <c r="H238" s="5">
        <v>0</v>
      </c>
      <c r="I238" s="5">
        <v>0</v>
      </c>
      <c r="J238" s="5">
        <f t="shared" si="34"/>
        <v>18000</v>
      </c>
      <c r="K238" s="5">
        <v>6</v>
      </c>
      <c r="L238" s="5">
        <f t="shared" si="35"/>
        <v>15000</v>
      </c>
      <c r="M238" s="5">
        <v>1</v>
      </c>
      <c r="N238" s="6">
        <f>400000-L238-H238-F238-D238-Table3[[#This Row],[Column4]]</f>
        <v>347000</v>
      </c>
    </row>
    <row r="239" spans="1:14" x14ac:dyDescent="0.45">
      <c r="A239" s="10">
        <f t="shared" si="36"/>
        <v>238</v>
      </c>
      <c r="B239" s="5" t="s">
        <v>305</v>
      </c>
      <c r="C239" s="5" t="s">
        <v>24</v>
      </c>
      <c r="D239" s="5">
        <f t="shared" si="37"/>
        <v>0</v>
      </c>
      <c r="E239" s="5">
        <v>0</v>
      </c>
      <c r="F239" s="5">
        <f t="shared" si="38"/>
        <v>0</v>
      </c>
      <c r="G239" s="5">
        <v>0</v>
      </c>
      <c r="H239" s="5">
        <v>0</v>
      </c>
      <c r="I239" s="5">
        <v>1</v>
      </c>
      <c r="J239" s="5">
        <f t="shared" si="34"/>
        <v>63000</v>
      </c>
      <c r="K239" s="5">
        <v>21</v>
      </c>
      <c r="L239" s="5">
        <f t="shared" si="35"/>
        <v>0</v>
      </c>
      <c r="M239" s="5">
        <v>0</v>
      </c>
      <c r="N239" s="6">
        <f>400000-L239-H239-F239-D239-Table3[[#This Row],[Column4]]</f>
        <v>337000</v>
      </c>
    </row>
    <row r="240" spans="1:14" x14ac:dyDescent="0.45">
      <c r="A240" s="10">
        <f t="shared" si="36"/>
        <v>239</v>
      </c>
      <c r="B240" s="5" t="s">
        <v>306</v>
      </c>
      <c r="C240" s="5" t="s">
        <v>24</v>
      </c>
      <c r="D240" s="5">
        <f t="shared" si="37"/>
        <v>0</v>
      </c>
      <c r="E240" s="5">
        <v>0</v>
      </c>
      <c r="F240" s="5">
        <f t="shared" si="38"/>
        <v>0</v>
      </c>
      <c r="G240" s="5">
        <v>0</v>
      </c>
      <c r="H240" s="5">
        <v>0</v>
      </c>
      <c r="I240" s="5">
        <v>1</v>
      </c>
      <c r="J240" s="5">
        <f t="shared" si="34"/>
        <v>48000</v>
      </c>
      <c r="K240" s="5">
        <v>16</v>
      </c>
      <c r="L240" s="5">
        <f t="shared" si="35"/>
        <v>0</v>
      </c>
      <c r="M240" s="5">
        <v>0</v>
      </c>
      <c r="N240" s="6">
        <f>400000-L240-H240-F240-D240-Table3[[#This Row],[Column4]]</f>
        <v>352000</v>
      </c>
    </row>
    <row r="241" spans="1:14" x14ac:dyDescent="0.45">
      <c r="A241" s="10">
        <f t="shared" si="36"/>
        <v>240</v>
      </c>
      <c r="B241" s="5" t="s">
        <v>307</v>
      </c>
      <c r="C241" s="5" t="s">
        <v>24</v>
      </c>
      <c r="D241" s="5">
        <f t="shared" si="37"/>
        <v>0</v>
      </c>
      <c r="E241" s="5">
        <v>0</v>
      </c>
      <c r="F241" s="5">
        <f t="shared" si="38"/>
        <v>30000</v>
      </c>
      <c r="G241" s="5">
        <v>1</v>
      </c>
      <c r="H241" s="5">
        <v>0</v>
      </c>
      <c r="I241" s="5">
        <v>0</v>
      </c>
      <c r="J241" s="5">
        <f t="shared" si="34"/>
        <v>45000</v>
      </c>
      <c r="K241" s="5">
        <v>15</v>
      </c>
      <c r="L241" s="5">
        <f t="shared" si="35"/>
        <v>0</v>
      </c>
      <c r="M241" s="5">
        <v>0</v>
      </c>
      <c r="N241" s="6">
        <f>400000-L241-H241-F241-D241-Table3[[#This Row],[Column4]]</f>
        <v>325000</v>
      </c>
    </row>
    <row r="242" spans="1:14" x14ac:dyDescent="0.45">
      <c r="A242" s="10">
        <f t="shared" si="36"/>
        <v>241</v>
      </c>
      <c r="B242" s="5" t="s">
        <v>308</v>
      </c>
      <c r="C242" s="5" t="s">
        <v>24</v>
      </c>
      <c r="D242" s="5">
        <f t="shared" si="37"/>
        <v>20000</v>
      </c>
      <c r="E242" s="5">
        <v>1</v>
      </c>
      <c r="F242" s="5">
        <f t="shared" si="38"/>
        <v>0</v>
      </c>
      <c r="G242" s="5">
        <v>0</v>
      </c>
      <c r="H242" s="5">
        <v>0</v>
      </c>
      <c r="I242" s="5">
        <v>0</v>
      </c>
      <c r="J242" s="5">
        <f t="shared" si="34"/>
        <v>45000</v>
      </c>
      <c r="K242" s="5">
        <v>15</v>
      </c>
      <c r="L242" s="5">
        <f t="shared" si="35"/>
        <v>0</v>
      </c>
      <c r="M242" s="5">
        <v>0</v>
      </c>
      <c r="N242" s="6">
        <f>400000-L242-H242-F242-D242-Table3[[#This Row],[Column4]]</f>
        <v>335000</v>
      </c>
    </row>
    <row r="243" spans="1:14" x14ac:dyDescent="0.45">
      <c r="A243" s="10">
        <f t="shared" si="36"/>
        <v>242</v>
      </c>
      <c r="B243" s="5" t="s">
        <v>309</v>
      </c>
      <c r="C243" s="5" t="s">
        <v>24</v>
      </c>
      <c r="D243" s="5">
        <f t="shared" si="37"/>
        <v>20000</v>
      </c>
      <c r="E243" s="5">
        <v>1</v>
      </c>
      <c r="F243" s="5">
        <f t="shared" si="38"/>
        <v>0</v>
      </c>
      <c r="G243" s="5">
        <v>0</v>
      </c>
      <c r="H243" s="5">
        <v>0</v>
      </c>
      <c r="I243" s="5">
        <v>0</v>
      </c>
      <c r="J243" s="5">
        <f t="shared" si="34"/>
        <v>51000</v>
      </c>
      <c r="K243" s="5">
        <v>17</v>
      </c>
      <c r="L243" s="5">
        <f t="shared" si="35"/>
        <v>0</v>
      </c>
      <c r="M243" s="5">
        <v>0</v>
      </c>
      <c r="N243" s="6">
        <f>400000-L243-H243-F243-D243-Table3[[#This Row],[Column4]]</f>
        <v>329000</v>
      </c>
    </row>
    <row r="244" spans="1:14" x14ac:dyDescent="0.45">
      <c r="A244" s="10">
        <f>ROW(A244)-1</f>
        <v>243</v>
      </c>
      <c r="B244" s="5" t="s">
        <v>310</v>
      </c>
      <c r="C244" s="5" t="s">
        <v>24</v>
      </c>
      <c r="D244" s="5">
        <f>E244*20000</f>
        <v>0</v>
      </c>
      <c r="E244" s="5">
        <v>0</v>
      </c>
      <c r="F244" s="5">
        <f>G244*30000</f>
        <v>0</v>
      </c>
      <c r="G244" s="5">
        <v>0</v>
      </c>
      <c r="H244" s="5">
        <f>I244*30000</f>
        <v>0</v>
      </c>
      <c r="I244" s="5">
        <v>0</v>
      </c>
      <c r="J244" s="5">
        <f>K244*3000</f>
        <v>54000</v>
      </c>
      <c r="K244" s="5">
        <v>18</v>
      </c>
      <c r="L244" s="5">
        <f>M244*15000</f>
        <v>0</v>
      </c>
      <c r="M244" s="5">
        <v>0</v>
      </c>
      <c r="N244" s="6">
        <f>400000-L244-H244-F244-D244-Table3[[#This Row],[Column4]]</f>
        <v>346000</v>
      </c>
    </row>
    <row r="245" spans="1:14" x14ac:dyDescent="0.45">
      <c r="A245" s="10">
        <f t="shared" ref="A245:A274" si="39">ROW(A245)-1</f>
        <v>244</v>
      </c>
      <c r="B245" s="5" t="s">
        <v>311</v>
      </c>
      <c r="C245" s="5" t="s">
        <v>24</v>
      </c>
      <c r="D245" s="5">
        <f t="shared" ref="D245:D274" si="40">E245*20000</f>
        <v>0</v>
      </c>
      <c r="E245" s="5">
        <v>0</v>
      </c>
      <c r="F245" s="5">
        <f t="shared" ref="F245:F274" si="41">G245*30000</f>
        <v>0</v>
      </c>
      <c r="G245" s="5">
        <v>0</v>
      </c>
      <c r="H245" s="5">
        <f t="shared" ref="H245:H274" si="42">I245*30000</f>
        <v>0</v>
      </c>
      <c r="I245" s="5">
        <v>0</v>
      </c>
      <c r="J245" s="5">
        <f t="shared" ref="J245:J274" si="43">K245*3000</f>
        <v>93000</v>
      </c>
      <c r="K245" s="5">
        <v>31</v>
      </c>
      <c r="L245" s="5">
        <f t="shared" ref="L245:L274" si="44">M245*15000</f>
        <v>0</v>
      </c>
      <c r="M245" s="5">
        <v>0</v>
      </c>
      <c r="N245" s="6">
        <f>400000-L245-H245-F245-D245-Table3[[#This Row],[Column4]]</f>
        <v>307000</v>
      </c>
    </row>
    <row r="246" spans="1:14" x14ac:dyDescent="0.45">
      <c r="A246" s="10">
        <f t="shared" si="39"/>
        <v>245</v>
      </c>
      <c r="B246" s="5" t="s">
        <v>312</v>
      </c>
      <c r="C246" s="5" t="s">
        <v>24</v>
      </c>
      <c r="D246" s="5">
        <f t="shared" si="40"/>
        <v>0</v>
      </c>
      <c r="E246" s="5">
        <v>0</v>
      </c>
      <c r="F246" s="5">
        <f t="shared" si="41"/>
        <v>0</v>
      </c>
      <c r="G246" s="5">
        <v>0</v>
      </c>
      <c r="H246" s="5">
        <f t="shared" si="42"/>
        <v>0</v>
      </c>
      <c r="I246" s="5">
        <v>0</v>
      </c>
      <c r="J246" s="5">
        <f t="shared" si="43"/>
        <v>33000</v>
      </c>
      <c r="K246" s="5">
        <v>11</v>
      </c>
      <c r="L246" s="5">
        <f t="shared" si="44"/>
        <v>0</v>
      </c>
      <c r="M246" s="5">
        <v>0</v>
      </c>
      <c r="N246" s="6">
        <f>400000-L246-H246-F246-D246-Table3[[#This Row],[Column4]]</f>
        <v>367000</v>
      </c>
    </row>
    <row r="247" spans="1:14" x14ac:dyDescent="0.45">
      <c r="A247" s="10">
        <f t="shared" si="39"/>
        <v>246</v>
      </c>
      <c r="B247" s="5" t="s">
        <v>313</v>
      </c>
      <c r="C247" s="5" t="s">
        <v>24</v>
      </c>
      <c r="D247" s="5">
        <f t="shared" si="40"/>
        <v>60000</v>
      </c>
      <c r="E247" s="5">
        <v>3</v>
      </c>
      <c r="F247" s="5">
        <f t="shared" si="41"/>
        <v>30000</v>
      </c>
      <c r="G247" s="5">
        <v>1</v>
      </c>
      <c r="H247" s="5">
        <f t="shared" si="42"/>
        <v>30000</v>
      </c>
      <c r="I247" s="5">
        <v>1</v>
      </c>
      <c r="J247" s="5">
        <f t="shared" si="43"/>
        <v>135000</v>
      </c>
      <c r="K247" s="5">
        <v>45</v>
      </c>
      <c r="L247" s="5">
        <f t="shared" si="44"/>
        <v>0</v>
      </c>
      <c r="M247" s="5">
        <v>0</v>
      </c>
      <c r="N247" s="6">
        <f>400000-L247-H247-F247-D247-Table3[[#This Row],[Column4]]</f>
        <v>145000</v>
      </c>
    </row>
    <row r="248" spans="1:14" x14ac:dyDescent="0.45">
      <c r="A248" s="10">
        <f t="shared" si="39"/>
        <v>247</v>
      </c>
      <c r="B248" s="5" t="s">
        <v>314</v>
      </c>
      <c r="C248" s="5" t="s">
        <v>24</v>
      </c>
      <c r="D248" s="5">
        <f t="shared" si="40"/>
        <v>40000</v>
      </c>
      <c r="E248" s="5">
        <v>2</v>
      </c>
      <c r="F248" s="5">
        <f t="shared" si="41"/>
        <v>0</v>
      </c>
      <c r="G248" s="5">
        <v>0</v>
      </c>
      <c r="H248" s="5">
        <f t="shared" si="42"/>
        <v>0</v>
      </c>
      <c r="I248" s="5">
        <v>0</v>
      </c>
      <c r="J248" s="5">
        <f t="shared" si="43"/>
        <v>78000</v>
      </c>
      <c r="K248" s="5">
        <v>26</v>
      </c>
      <c r="L248" s="5">
        <f t="shared" si="44"/>
        <v>0</v>
      </c>
      <c r="M248" s="5">
        <v>0</v>
      </c>
      <c r="N248" s="6">
        <f>400000-L248-H248-F248-D248-Table3[[#This Row],[Column4]]</f>
        <v>282000</v>
      </c>
    </row>
    <row r="249" spans="1:14" x14ac:dyDescent="0.45">
      <c r="A249" s="10">
        <f t="shared" si="39"/>
        <v>248</v>
      </c>
      <c r="B249" s="5" t="s">
        <v>315</v>
      </c>
      <c r="C249" s="5" t="s">
        <v>24</v>
      </c>
      <c r="D249" s="5">
        <f t="shared" si="40"/>
        <v>0</v>
      </c>
      <c r="E249" s="5">
        <v>0</v>
      </c>
      <c r="F249" s="5">
        <f t="shared" si="41"/>
        <v>0</v>
      </c>
      <c r="G249" s="5">
        <v>0</v>
      </c>
      <c r="H249" s="5">
        <f t="shared" si="42"/>
        <v>0</v>
      </c>
      <c r="I249" s="5">
        <v>0</v>
      </c>
      <c r="J249" s="5">
        <f t="shared" si="43"/>
        <v>48000</v>
      </c>
      <c r="K249" s="5">
        <v>16</v>
      </c>
      <c r="L249" s="5">
        <f t="shared" si="44"/>
        <v>0</v>
      </c>
      <c r="M249" s="5">
        <v>0</v>
      </c>
      <c r="N249" s="6">
        <f>400000-L249-H249-F249-D249-Table3[[#This Row],[Column4]]</f>
        <v>352000</v>
      </c>
    </row>
    <row r="250" spans="1:14" x14ac:dyDescent="0.45">
      <c r="A250" s="10">
        <f t="shared" si="39"/>
        <v>249</v>
      </c>
      <c r="B250" s="5" t="s">
        <v>316</v>
      </c>
      <c r="C250" s="5" t="s">
        <v>24</v>
      </c>
      <c r="D250" s="5">
        <f t="shared" si="40"/>
        <v>0</v>
      </c>
      <c r="E250" s="5">
        <v>0</v>
      </c>
      <c r="F250" s="5">
        <f t="shared" si="41"/>
        <v>0</v>
      </c>
      <c r="G250" s="5">
        <v>0</v>
      </c>
      <c r="H250" s="5">
        <f t="shared" si="42"/>
        <v>0</v>
      </c>
      <c r="I250" s="5">
        <v>0</v>
      </c>
      <c r="J250" s="5">
        <f t="shared" si="43"/>
        <v>54000</v>
      </c>
      <c r="K250" s="5">
        <v>18</v>
      </c>
      <c r="L250" s="5">
        <f t="shared" si="44"/>
        <v>0</v>
      </c>
      <c r="M250" s="5">
        <v>0</v>
      </c>
      <c r="N250" s="6">
        <f>400000-L250-H250-F250-D250-Table3[[#This Row],[Column4]]</f>
        <v>346000</v>
      </c>
    </row>
    <row r="251" spans="1:14" x14ac:dyDescent="0.45">
      <c r="A251" s="10">
        <f t="shared" si="39"/>
        <v>250</v>
      </c>
      <c r="B251" s="5" t="s">
        <v>317</v>
      </c>
      <c r="C251" s="5" t="s">
        <v>24</v>
      </c>
      <c r="D251" s="5">
        <f t="shared" si="40"/>
        <v>0</v>
      </c>
      <c r="E251" s="5">
        <v>0</v>
      </c>
      <c r="F251" s="5">
        <f t="shared" si="41"/>
        <v>0</v>
      </c>
      <c r="G251" s="5">
        <v>0</v>
      </c>
      <c r="H251" s="5">
        <f t="shared" si="42"/>
        <v>0</v>
      </c>
      <c r="I251" s="5">
        <v>0</v>
      </c>
      <c r="J251" s="5">
        <f t="shared" si="43"/>
        <v>57000</v>
      </c>
      <c r="K251" s="5">
        <v>19</v>
      </c>
      <c r="L251" s="5">
        <f t="shared" si="44"/>
        <v>0</v>
      </c>
      <c r="M251" s="5">
        <v>0</v>
      </c>
      <c r="N251" s="6">
        <f>400000-L251-H251-F251-D251-Table3[[#This Row],[Column4]]</f>
        <v>343000</v>
      </c>
    </row>
    <row r="252" spans="1:14" x14ac:dyDescent="0.45">
      <c r="A252" s="10">
        <f t="shared" si="39"/>
        <v>251</v>
      </c>
      <c r="B252" s="5" t="s">
        <v>318</v>
      </c>
      <c r="C252" s="5" t="s">
        <v>24</v>
      </c>
      <c r="D252" s="5">
        <f t="shared" si="40"/>
        <v>20000</v>
      </c>
      <c r="E252" s="5">
        <v>1</v>
      </c>
      <c r="F252" s="5">
        <f t="shared" si="41"/>
        <v>0</v>
      </c>
      <c r="G252" s="5">
        <v>0</v>
      </c>
      <c r="H252" s="5">
        <f t="shared" si="42"/>
        <v>0</v>
      </c>
      <c r="I252" s="5">
        <v>0</v>
      </c>
      <c r="J252" s="5">
        <f t="shared" si="43"/>
        <v>48000</v>
      </c>
      <c r="K252" s="5">
        <v>16</v>
      </c>
      <c r="L252" s="5">
        <f t="shared" si="44"/>
        <v>0</v>
      </c>
      <c r="M252" s="5">
        <v>0</v>
      </c>
      <c r="N252" s="6">
        <f>400000-L252-H252-F252-D252-Table3[[#This Row],[Column4]]</f>
        <v>332000</v>
      </c>
    </row>
    <row r="253" spans="1:14" x14ac:dyDescent="0.45">
      <c r="A253" s="10">
        <f t="shared" si="39"/>
        <v>252</v>
      </c>
      <c r="B253" s="5" t="s">
        <v>319</v>
      </c>
      <c r="C253" s="5" t="s">
        <v>24</v>
      </c>
      <c r="D253" s="5">
        <f t="shared" si="40"/>
        <v>80000</v>
      </c>
      <c r="E253" s="5">
        <v>4</v>
      </c>
      <c r="F253" s="5">
        <f t="shared" si="41"/>
        <v>0</v>
      </c>
      <c r="G253" s="5">
        <v>0</v>
      </c>
      <c r="H253" s="5">
        <f t="shared" si="42"/>
        <v>0</v>
      </c>
      <c r="I253" s="5">
        <v>0</v>
      </c>
      <c r="J253" s="5">
        <f t="shared" si="43"/>
        <v>237000</v>
      </c>
      <c r="K253" s="5">
        <v>79</v>
      </c>
      <c r="L253" s="5">
        <f t="shared" si="44"/>
        <v>0</v>
      </c>
      <c r="M253" s="5">
        <v>0</v>
      </c>
      <c r="N253" s="6">
        <f>400000-L253-H253-F253-D253-Table3[[#This Row],[Column4]]</f>
        <v>83000</v>
      </c>
    </row>
    <row r="254" spans="1:14" x14ac:dyDescent="0.45">
      <c r="A254" s="10">
        <f t="shared" si="39"/>
        <v>253</v>
      </c>
      <c r="B254" s="5" t="s">
        <v>320</v>
      </c>
      <c r="C254" s="5" t="s">
        <v>24</v>
      </c>
      <c r="D254" s="5">
        <f t="shared" si="40"/>
        <v>120000</v>
      </c>
      <c r="E254" s="5">
        <v>6</v>
      </c>
      <c r="F254" s="5">
        <f t="shared" si="41"/>
        <v>0</v>
      </c>
      <c r="G254" s="5">
        <v>0</v>
      </c>
      <c r="H254" s="5">
        <f t="shared" si="42"/>
        <v>0</v>
      </c>
      <c r="I254" s="5">
        <v>0</v>
      </c>
      <c r="J254" s="5">
        <f t="shared" si="43"/>
        <v>252000</v>
      </c>
      <c r="K254" s="5">
        <v>84</v>
      </c>
      <c r="L254" s="5">
        <f t="shared" si="44"/>
        <v>0</v>
      </c>
      <c r="M254" s="5">
        <v>0</v>
      </c>
      <c r="N254" s="6">
        <f>400000-L254-H254-F254-D254-Table3[[#This Row],[Column4]]</f>
        <v>28000</v>
      </c>
    </row>
    <row r="255" spans="1:14" x14ac:dyDescent="0.45">
      <c r="A255" s="10">
        <f t="shared" si="39"/>
        <v>254</v>
      </c>
      <c r="B255" s="5" t="s">
        <v>321</v>
      </c>
      <c r="C255" s="5" t="s">
        <v>24</v>
      </c>
      <c r="D255" s="5">
        <f t="shared" si="40"/>
        <v>40000</v>
      </c>
      <c r="E255" s="5">
        <v>2</v>
      </c>
      <c r="F255" s="5">
        <f t="shared" si="41"/>
        <v>30000</v>
      </c>
      <c r="G255" s="5">
        <v>1</v>
      </c>
      <c r="H255" s="5">
        <f t="shared" si="42"/>
        <v>0</v>
      </c>
      <c r="I255" s="5">
        <v>0</v>
      </c>
      <c r="J255" s="5">
        <f t="shared" si="43"/>
        <v>42000</v>
      </c>
      <c r="K255" s="5">
        <v>14</v>
      </c>
      <c r="L255" s="5">
        <f t="shared" si="44"/>
        <v>0</v>
      </c>
      <c r="M255" s="5">
        <v>0</v>
      </c>
      <c r="N255" s="6">
        <f>400000-L255-H255-F255-D255-Table3[[#This Row],[Column4]]</f>
        <v>288000</v>
      </c>
    </row>
    <row r="256" spans="1:14" x14ac:dyDescent="0.45">
      <c r="A256" s="10">
        <f t="shared" si="39"/>
        <v>255</v>
      </c>
      <c r="B256" s="5" t="s">
        <v>322</v>
      </c>
      <c r="C256" s="5" t="s">
        <v>24</v>
      </c>
      <c r="D256" s="5">
        <f t="shared" si="40"/>
        <v>60000</v>
      </c>
      <c r="E256" s="5">
        <v>3</v>
      </c>
      <c r="F256" s="5">
        <f t="shared" si="41"/>
        <v>0</v>
      </c>
      <c r="G256" s="5">
        <v>0</v>
      </c>
      <c r="H256" s="5">
        <f t="shared" si="42"/>
        <v>0</v>
      </c>
      <c r="I256" s="5">
        <v>0</v>
      </c>
      <c r="J256" s="5">
        <f t="shared" si="43"/>
        <v>39000</v>
      </c>
      <c r="K256" s="5">
        <v>13</v>
      </c>
      <c r="L256" s="5">
        <f t="shared" si="44"/>
        <v>0</v>
      </c>
      <c r="M256" s="5">
        <v>0</v>
      </c>
      <c r="N256" s="6">
        <f>400000-L256-H256-F256-D256-Table3[[#This Row],[Column4]]</f>
        <v>301000</v>
      </c>
    </row>
    <row r="257" spans="1:14" x14ac:dyDescent="0.45">
      <c r="A257" s="10">
        <f t="shared" si="39"/>
        <v>256</v>
      </c>
      <c r="B257" s="5" t="s">
        <v>323</v>
      </c>
      <c r="C257" s="5" t="s">
        <v>24</v>
      </c>
      <c r="D257" s="5">
        <f t="shared" si="40"/>
        <v>0</v>
      </c>
      <c r="E257" s="5">
        <v>0</v>
      </c>
      <c r="F257" s="5">
        <f t="shared" si="41"/>
        <v>0</v>
      </c>
      <c r="G257" s="5">
        <v>0</v>
      </c>
      <c r="H257" s="5">
        <f t="shared" si="42"/>
        <v>0</v>
      </c>
      <c r="I257" s="5">
        <v>0</v>
      </c>
      <c r="J257" s="5">
        <f t="shared" si="43"/>
        <v>51000</v>
      </c>
      <c r="K257" s="5">
        <v>17</v>
      </c>
      <c r="L257" s="5">
        <f t="shared" si="44"/>
        <v>0</v>
      </c>
      <c r="M257" s="5">
        <v>0</v>
      </c>
      <c r="N257" s="6">
        <f>400000-L257-H257-F257-D257-Table3[[#This Row],[Column4]]</f>
        <v>349000</v>
      </c>
    </row>
    <row r="258" spans="1:14" x14ac:dyDescent="0.45">
      <c r="A258" s="10">
        <f t="shared" si="39"/>
        <v>257</v>
      </c>
      <c r="B258" s="5" t="s">
        <v>324</v>
      </c>
      <c r="C258" s="5" t="s">
        <v>24</v>
      </c>
      <c r="D258" s="5">
        <f t="shared" si="40"/>
        <v>0</v>
      </c>
      <c r="E258" s="5">
        <v>0</v>
      </c>
      <c r="F258" s="5">
        <f t="shared" si="41"/>
        <v>0</v>
      </c>
      <c r="G258" s="5">
        <v>0</v>
      </c>
      <c r="H258" s="5">
        <f t="shared" si="42"/>
        <v>0</v>
      </c>
      <c r="I258" s="5">
        <v>0</v>
      </c>
      <c r="J258" s="5">
        <f t="shared" si="43"/>
        <v>30000</v>
      </c>
      <c r="K258" s="5">
        <v>10</v>
      </c>
      <c r="L258" s="5">
        <f t="shared" si="44"/>
        <v>0</v>
      </c>
      <c r="M258" s="5">
        <v>0</v>
      </c>
      <c r="N258" s="6">
        <f>400000-L258-H258-F258-D258-Table3[[#This Row],[Column4]]</f>
        <v>370000</v>
      </c>
    </row>
    <row r="259" spans="1:14" x14ac:dyDescent="0.45">
      <c r="A259" s="10">
        <f t="shared" si="39"/>
        <v>258</v>
      </c>
      <c r="B259" s="5" t="s">
        <v>325</v>
      </c>
      <c r="C259" s="5" t="s">
        <v>24</v>
      </c>
      <c r="D259" s="5">
        <f t="shared" si="40"/>
        <v>40000</v>
      </c>
      <c r="E259" s="5">
        <v>2</v>
      </c>
      <c r="F259" s="5">
        <f t="shared" si="41"/>
        <v>0</v>
      </c>
      <c r="G259" s="5">
        <v>0</v>
      </c>
      <c r="H259" s="5">
        <f t="shared" si="42"/>
        <v>0</v>
      </c>
      <c r="I259" s="5">
        <v>0</v>
      </c>
      <c r="J259" s="5">
        <f t="shared" si="43"/>
        <v>99000</v>
      </c>
      <c r="K259" s="5">
        <v>33</v>
      </c>
      <c r="L259" s="5">
        <f t="shared" si="44"/>
        <v>0</v>
      </c>
      <c r="M259" s="5">
        <v>0</v>
      </c>
      <c r="N259" s="6">
        <f>400000-L259-H259-F259-D259-Table3[[#This Row],[Column4]]</f>
        <v>261000</v>
      </c>
    </row>
    <row r="260" spans="1:14" x14ac:dyDescent="0.45">
      <c r="A260" s="10">
        <f t="shared" si="39"/>
        <v>259</v>
      </c>
      <c r="B260" s="5" t="s">
        <v>326</v>
      </c>
      <c r="C260" s="5" t="s">
        <v>24</v>
      </c>
      <c r="D260" s="5">
        <f t="shared" si="40"/>
        <v>0</v>
      </c>
      <c r="E260" s="5">
        <v>0</v>
      </c>
      <c r="F260" s="5">
        <f t="shared" si="41"/>
        <v>0</v>
      </c>
      <c r="G260" s="5">
        <v>0</v>
      </c>
      <c r="H260" s="5">
        <f t="shared" si="42"/>
        <v>0</v>
      </c>
      <c r="I260" s="5">
        <v>0</v>
      </c>
      <c r="J260" s="5">
        <f t="shared" si="43"/>
        <v>42000</v>
      </c>
      <c r="K260" s="5">
        <v>14</v>
      </c>
      <c r="L260" s="5">
        <f t="shared" si="44"/>
        <v>0</v>
      </c>
      <c r="M260" s="5">
        <v>0</v>
      </c>
      <c r="N260" s="6">
        <f>400000-L260-H260-F260-D260-Table3[[#This Row],[Column4]]</f>
        <v>358000</v>
      </c>
    </row>
    <row r="261" spans="1:14" x14ac:dyDescent="0.45">
      <c r="A261" s="10">
        <f t="shared" si="39"/>
        <v>260</v>
      </c>
      <c r="B261" s="5" t="s">
        <v>327</v>
      </c>
      <c r="C261" s="5" t="s">
        <v>24</v>
      </c>
      <c r="D261" s="5">
        <f t="shared" si="40"/>
        <v>0</v>
      </c>
      <c r="E261" s="5">
        <v>0</v>
      </c>
      <c r="F261" s="5">
        <f t="shared" si="41"/>
        <v>0</v>
      </c>
      <c r="G261" s="5">
        <v>0</v>
      </c>
      <c r="H261" s="5">
        <f t="shared" si="42"/>
        <v>0</v>
      </c>
      <c r="I261" s="5">
        <v>0</v>
      </c>
      <c r="J261" s="5">
        <f t="shared" si="43"/>
        <v>129000</v>
      </c>
      <c r="K261" s="5">
        <v>43</v>
      </c>
      <c r="L261" s="5">
        <f t="shared" si="44"/>
        <v>0</v>
      </c>
      <c r="M261" s="5">
        <v>0</v>
      </c>
      <c r="N261" s="6">
        <f>400000-L261-H261-F261-D261-Table3[[#This Row],[Column4]]</f>
        <v>271000</v>
      </c>
    </row>
    <row r="262" spans="1:14" x14ac:dyDescent="0.45">
      <c r="A262" s="10">
        <f t="shared" si="39"/>
        <v>261</v>
      </c>
      <c r="B262" s="5" t="s">
        <v>328</v>
      </c>
      <c r="C262" s="5" t="s">
        <v>24</v>
      </c>
      <c r="D262" s="5">
        <f t="shared" si="40"/>
        <v>0</v>
      </c>
      <c r="E262" s="5">
        <v>0</v>
      </c>
      <c r="F262" s="5">
        <f t="shared" si="41"/>
        <v>0</v>
      </c>
      <c r="G262" s="5">
        <v>0</v>
      </c>
      <c r="H262" s="5">
        <f t="shared" si="42"/>
        <v>0</v>
      </c>
      <c r="I262" s="5">
        <v>0</v>
      </c>
      <c r="J262" s="5">
        <f t="shared" si="43"/>
        <v>84000</v>
      </c>
      <c r="K262" s="5">
        <v>28</v>
      </c>
      <c r="L262" s="5">
        <f t="shared" si="44"/>
        <v>0</v>
      </c>
      <c r="M262" s="5">
        <v>0</v>
      </c>
      <c r="N262" s="6">
        <f>400000-L262-H262-F262-D262-Table3[[#This Row],[Column4]]</f>
        <v>316000</v>
      </c>
    </row>
    <row r="263" spans="1:14" x14ac:dyDescent="0.45">
      <c r="A263" s="10">
        <f t="shared" si="39"/>
        <v>262</v>
      </c>
      <c r="B263" s="5" t="s">
        <v>329</v>
      </c>
      <c r="C263" s="5" t="s">
        <v>24</v>
      </c>
      <c r="D263" s="5">
        <f t="shared" si="40"/>
        <v>20000</v>
      </c>
      <c r="E263" s="5">
        <v>1</v>
      </c>
      <c r="F263" s="5">
        <f t="shared" si="41"/>
        <v>0</v>
      </c>
      <c r="G263" s="5">
        <v>0</v>
      </c>
      <c r="H263" s="5">
        <f t="shared" si="42"/>
        <v>0</v>
      </c>
      <c r="I263" s="5">
        <v>0</v>
      </c>
      <c r="J263" s="5">
        <f t="shared" si="43"/>
        <v>57000</v>
      </c>
      <c r="K263" s="5">
        <v>19</v>
      </c>
      <c r="L263" s="5">
        <f t="shared" si="44"/>
        <v>0</v>
      </c>
      <c r="M263" s="5">
        <v>0</v>
      </c>
      <c r="N263" s="6">
        <f>400000-L263-H263-F263-D263-Table3[[#This Row],[Column4]]</f>
        <v>323000</v>
      </c>
    </row>
    <row r="264" spans="1:14" x14ac:dyDescent="0.45">
      <c r="A264" s="10">
        <f t="shared" si="39"/>
        <v>263</v>
      </c>
      <c r="B264" s="5" t="s">
        <v>330</v>
      </c>
      <c r="C264" s="5" t="s">
        <v>24</v>
      </c>
      <c r="D264" s="5">
        <f t="shared" si="40"/>
        <v>20000</v>
      </c>
      <c r="E264" s="5">
        <v>1</v>
      </c>
      <c r="F264" s="5">
        <f t="shared" si="41"/>
        <v>0</v>
      </c>
      <c r="G264" s="5">
        <v>0</v>
      </c>
      <c r="H264" s="5">
        <f t="shared" si="42"/>
        <v>0</v>
      </c>
      <c r="I264" s="5">
        <v>0</v>
      </c>
      <c r="J264" s="5">
        <f t="shared" si="43"/>
        <v>90000</v>
      </c>
      <c r="K264" s="5">
        <v>30</v>
      </c>
      <c r="L264" s="5">
        <f t="shared" si="44"/>
        <v>0</v>
      </c>
      <c r="M264" s="5">
        <v>0</v>
      </c>
      <c r="N264" s="6">
        <f>400000-L264-H264-F264-D264-Table3[[#This Row],[Column4]]</f>
        <v>290000</v>
      </c>
    </row>
    <row r="265" spans="1:14" x14ac:dyDescent="0.45">
      <c r="A265" s="10">
        <f t="shared" si="39"/>
        <v>264</v>
      </c>
      <c r="B265" s="5" t="s">
        <v>331</v>
      </c>
      <c r="C265" s="5" t="s">
        <v>24</v>
      </c>
      <c r="D265" s="5">
        <f t="shared" si="40"/>
        <v>0</v>
      </c>
      <c r="E265" s="5">
        <v>0</v>
      </c>
      <c r="F265" s="5">
        <f t="shared" si="41"/>
        <v>0</v>
      </c>
      <c r="G265" s="5">
        <v>0</v>
      </c>
      <c r="H265" s="5">
        <f t="shared" si="42"/>
        <v>0</v>
      </c>
      <c r="I265" s="5">
        <v>0</v>
      </c>
      <c r="J265" s="5">
        <f t="shared" si="43"/>
        <v>180000</v>
      </c>
      <c r="K265" s="5">
        <v>60</v>
      </c>
      <c r="L265" s="5">
        <f t="shared" si="44"/>
        <v>0</v>
      </c>
      <c r="M265" s="5">
        <v>0</v>
      </c>
      <c r="N265" s="6">
        <f>400000-L265-H265-F265-D265-Table3[[#This Row],[Column4]]</f>
        <v>220000</v>
      </c>
    </row>
    <row r="266" spans="1:14" x14ac:dyDescent="0.45">
      <c r="A266" s="10">
        <f t="shared" si="39"/>
        <v>265</v>
      </c>
      <c r="B266" s="5" t="s">
        <v>332</v>
      </c>
      <c r="C266" s="5" t="s">
        <v>24</v>
      </c>
      <c r="D266" s="5">
        <f t="shared" si="40"/>
        <v>60000</v>
      </c>
      <c r="E266" s="5">
        <v>3</v>
      </c>
      <c r="F266" s="5">
        <f t="shared" si="41"/>
        <v>0</v>
      </c>
      <c r="G266" s="5">
        <v>0</v>
      </c>
      <c r="H266" s="5">
        <f t="shared" si="42"/>
        <v>0</v>
      </c>
      <c r="I266" s="5">
        <v>0</v>
      </c>
      <c r="J266" s="5">
        <f t="shared" si="43"/>
        <v>222000</v>
      </c>
      <c r="K266" s="5">
        <v>74</v>
      </c>
      <c r="L266" s="5">
        <f t="shared" si="44"/>
        <v>0</v>
      </c>
      <c r="M266" s="5">
        <v>0</v>
      </c>
      <c r="N266" s="6">
        <f>400000-L266-H266-F266-D266-Table3[[#This Row],[Column4]]</f>
        <v>118000</v>
      </c>
    </row>
    <row r="267" spans="1:14" x14ac:dyDescent="0.45">
      <c r="A267" s="10">
        <f t="shared" si="39"/>
        <v>266</v>
      </c>
      <c r="B267" s="5" t="s">
        <v>333</v>
      </c>
      <c r="C267" s="5" t="s">
        <v>24</v>
      </c>
      <c r="D267" s="5">
        <f t="shared" si="40"/>
        <v>60000</v>
      </c>
      <c r="E267" s="5">
        <v>3</v>
      </c>
      <c r="F267" s="5">
        <f t="shared" si="41"/>
        <v>0</v>
      </c>
      <c r="G267" s="5">
        <v>0</v>
      </c>
      <c r="H267" s="5">
        <f t="shared" si="42"/>
        <v>0</v>
      </c>
      <c r="I267" s="5">
        <v>0</v>
      </c>
      <c r="J267" s="5">
        <f t="shared" si="43"/>
        <v>237000</v>
      </c>
      <c r="K267" s="5">
        <v>79</v>
      </c>
      <c r="L267" s="5">
        <f t="shared" si="44"/>
        <v>15000</v>
      </c>
      <c r="M267" s="5">
        <v>1</v>
      </c>
      <c r="N267" s="6">
        <f>400000-L267-H267-F267-D267-Table3[[#This Row],[Column4]]</f>
        <v>88000</v>
      </c>
    </row>
    <row r="268" spans="1:14" x14ac:dyDescent="0.45">
      <c r="A268" s="10">
        <f t="shared" si="39"/>
        <v>267</v>
      </c>
      <c r="B268" s="5" t="s">
        <v>334</v>
      </c>
      <c r="C268" s="5" t="s">
        <v>24</v>
      </c>
      <c r="D268" s="5">
        <f t="shared" si="40"/>
        <v>60000</v>
      </c>
      <c r="E268" s="5">
        <v>3</v>
      </c>
      <c r="F268" s="5">
        <f t="shared" si="41"/>
        <v>0</v>
      </c>
      <c r="G268" s="5">
        <v>0</v>
      </c>
      <c r="H268" s="5">
        <f t="shared" si="42"/>
        <v>0</v>
      </c>
      <c r="I268" s="5">
        <v>0</v>
      </c>
      <c r="J268" s="5">
        <f t="shared" si="43"/>
        <v>150000</v>
      </c>
      <c r="K268" s="5">
        <v>50</v>
      </c>
      <c r="L268" s="5">
        <f t="shared" si="44"/>
        <v>15000</v>
      </c>
      <c r="M268" s="5">
        <v>1</v>
      </c>
      <c r="N268" s="6">
        <f>400000-L268-H268-F268-D268-Table3[[#This Row],[Column4]]</f>
        <v>175000</v>
      </c>
    </row>
    <row r="269" spans="1:14" x14ac:dyDescent="0.45">
      <c r="A269" s="10">
        <f t="shared" si="39"/>
        <v>268</v>
      </c>
      <c r="B269" s="5" t="s">
        <v>335</v>
      </c>
      <c r="C269" s="5" t="s">
        <v>24</v>
      </c>
      <c r="D269" s="5">
        <f t="shared" si="40"/>
        <v>60000</v>
      </c>
      <c r="E269" s="5">
        <v>3</v>
      </c>
      <c r="F269" s="5">
        <f t="shared" si="41"/>
        <v>0</v>
      </c>
      <c r="G269" s="5">
        <v>0</v>
      </c>
      <c r="H269" s="5">
        <f t="shared" si="42"/>
        <v>30000</v>
      </c>
      <c r="I269" s="5">
        <v>1</v>
      </c>
      <c r="J269" s="5">
        <f t="shared" si="43"/>
        <v>306000</v>
      </c>
      <c r="K269" s="5">
        <v>102</v>
      </c>
      <c r="L269" s="5">
        <f t="shared" si="44"/>
        <v>15000</v>
      </c>
      <c r="M269" s="5">
        <v>1</v>
      </c>
      <c r="N269" s="6">
        <f>400000-L269-H269-F269-D269-Table3[[#This Row],[Column4]]</f>
        <v>-11000</v>
      </c>
    </row>
    <row r="270" spans="1:14" x14ac:dyDescent="0.45">
      <c r="A270" s="10">
        <f t="shared" si="39"/>
        <v>269</v>
      </c>
      <c r="B270" s="5" t="s">
        <v>336</v>
      </c>
      <c r="C270" s="5" t="s">
        <v>24</v>
      </c>
      <c r="D270" s="5">
        <f t="shared" si="40"/>
        <v>0</v>
      </c>
      <c r="E270" s="5">
        <v>0</v>
      </c>
      <c r="F270" s="5">
        <f t="shared" si="41"/>
        <v>0</v>
      </c>
      <c r="G270" s="5">
        <v>0</v>
      </c>
      <c r="H270" s="5">
        <f t="shared" si="42"/>
        <v>30000</v>
      </c>
      <c r="I270" s="5">
        <v>1</v>
      </c>
      <c r="J270" s="5">
        <f t="shared" si="43"/>
        <v>87000</v>
      </c>
      <c r="K270" s="5">
        <v>29</v>
      </c>
      <c r="L270" s="5">
        <f t="shared" si="44"/>
        <v>0</v>
      </c>
      <c r="M270" s="5">
        <v>0</v>
      </c>
      <c r="N270" s="6">
        <f>400000-L270-H270-F270-D270-Table3[[#This Row],[Column4]]</f>
        <v>283000</v>
      </c>
    </row>
    <row r="271" spans="1:14" x14ac:dyDescent="0.45">
      <c r="A271" s="10">
        <f t="shared" si="39"/>
        <v>270</v>
      </c>
      <c r="B271" s="5" t="s">
        <v>337</v>
      </c>
      <c r="C271" s="5" t="s">
        <v>24</v>
      </c>
      <c r="D271" s="5">
        <f t="shared" si="40"/>
        <v>80000</v>
      </c>
      <c r="E271" s="5">
        <v>4</v>
      </c>
      <c r="F271" s="5">
        <f t="shared" si="41"/>
        <v>0</v>
      </c>
      <c r="G271" s="5">
        <v>0</v>
      </c>
      <c r="H271" s="5">
        <f t="shared" si="42"/>
        <v>0</v>
      </c>
      <c r="I271" s="5">
        <v>0</v>
      </c>
      <c r="J271" s="5">
        <f t="shared" si="43"/>
        <v>183000</v>
      </c>
      <c r="K271" s="5">
        <v>61</v>
      </c>
      <c r="L271" s="5">
        <f t="shared" si="44"/>
        <v>30000</v>
      </c>
      <c r="M271" s="5">
        <v>2</v>
      </c>
      <c r="N271" s="6">
        <f>400000-L271-H271-F271-D271-Table3[[#This Row],[Column4]]</f>
        <v>107000</v>
      </c>
    </row>
    <row r="272" spans="1:14" x14ac:dyDescent="0.45">
      <c r="A272" s="10">
        <f t="shared" si="39"/>
        <v>271</v>
      </c>
      <c r="B272" s="5" t="s">
        <v>338</v>
      </c>
      <c r="C272" s="5" t="s">
        <v>24</v>
      </c>
      <c r="D272" s="5">
        <f t="shared" si="40"/>
        <v>20000</v>
      </c>
      <c r="E272" s="5">
        <v>1</v>
      </c>
      <c r="F272" s="5">
        <f t="shared" si="41"/>
        <v>0</v>
      </c>
      <c r="G272" s="5">
        <v>0</v>
      </c>
      <c r="H272" s="5">
        <f t="shared" si="42"/>
        <v>0</v>
      </c>
      <c r="I272" s="5">
        <v>0</v>
      </c>
      <c r="J272" s="5">
        <f t="shared" si="43"/>
        <v>57000</v>
      </c>
      <c r="K272" s="5">
        <v>19</v>
      </c>
      <c r="L272" s="5">
        <f t="shared" si="44"/>
        <v>0</v>
      </c>
      <c r="M272" s="5">
        <v>0</v>
      </c>
      <c r="N272" s="6">
        <f>400000-L272-H272-F272-D272-Table3[[#This Row],[Column4]]</f>
        <v>323000</v>
      </c>
    </row>
    <row r="273" spans="1:14" x14ac:dyDescent="0.45">
      <c r="A273" s="10">
        <f t="shared" si="39"/>
        <v>272</v>
      </c>
      <c r="B273" s="5" t="s">
        <v>339</v>
      </c>
      <c r="C273" s="5" t="s">
        <v>24</v>
      </c>
      <c r="D273" s="5">
        <f t="shared" si="40"/>
        <v>20000</v>
      </c>
      <c r="E273" s="5">
        <v>1</v>
      </c>
      <c r="F273" s="5">
        <f t="shared" si="41"/>
        <v>0</v>
      </c>
      <c r="G273" s="5">
        <v>0</v>
      </c>
      <c r="H273" s="5">
        <f t="shared" si="42"/>
        <v>0</v>
      </c>
      <c r="I273" s="5">
        <v>0</v>
      </c>
      <c r="J273" s="5">
        <f t="shared" si="43"/>
        <v>189000</v>
      </c>
      <c r="K273" s="5">
        <v>63</v>
      </c>
      <c r="L273" s="5">
        <f t="shared" si="44"/>
        <v>0</v>
      </c>
      <c r="M273" s="5">
        <v>0</v>
      </c>
      <c r="N273" s="6">
        <f>400000-L273-H273-F273-D273-Table3[[#This Row],[Column4]]</f>
        <v>191000</v>
      </c>
    </row>
    <row r="274" spans="1:14" x14ac:dyDescent="0.45">
      <c r="A274" s="10">
        <f t="shared" si="39"/>
        <v>273</v>
      </c>
      <c r="B274" s="5" t="s">
        <v>340</v>
      </c>
      <c r="C274" s="5" t="s">
        <v>24</v>
      </c>
      <c r="D274" s="5">
        <f t="shared" si="40"/>
        <v>20000</v>
      </c>
      <c r="E274" s="5">
        <v>1</v>
      </c>
      <c r="F274" s="5">
        <f t="shared" si="41"/>
        <v>0</v>
      </c>
      <c r="G274" s="5">
        <v>0</v>
      </c>
      <c r="H274" s="5">
        <f t="shared" si="42"/>
        <v>0</v>
      </c>
      <c r="I274" s="5">
        <v>0</v>
      </c>
      <c r="J274" s="5">
        <f t="shared" si="43"/>
        <v>135000</v>
      </c>
      <c r="K274" s="5">
        <v>45</v>
      </c>
      <c r="L274" s="5">
        <f t="shared" si="44"/>
        <v>30000</v>
      </c>
      <c r="M274" s="5">
        <v>2</v>
      </c>
      <c r="N274" s="6">
        <f>400000-L274-H274-F274-D274-Table3[[#This Row],[Column4]]</f>
        <v>215000</v>
      </c>
    </row>
    <row r="275" spans="1:14" x14ac:dyDescent="0.45">
      <c r="A275" s="10">
        <f>ROW(A275)-1</f>
        <v>274</v>
      </c>
      <c r="B275" s="5" t="s">
        <v>371</v>
      </c>
      <c r="C275" s="5" t="s">
        <v>24</v>
      </c>
      <c r="D275" s="5">
        <f>E275*20000</f>
        <v>20000</v>
      </c>
      <c r="E275" s="5">
        <v>1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69</v>
      </c>
      <c r="L275" s="5">
        <v>0</v>
      </c>
      <c r="M275" s="5">
        <v>0</v>
      </c>
      <c r="N275" s="6">
        <f>400000-L275-H275-F275-D275-Table3[[#This Row],[Column4]]</f>
        <v>380000</v>
      </c>
    </row>
    <row r="276" spans="1:14" x14ac:dyDescent="0.45">
      <c r="A276" s="10">
        <f t="shared" ref="A276:A305" si="45">ROW(A276)-1</f>
        <v>275</v>
      </c>
      <c r="B276" s="5" t="s">
        <v>372</v>
      </c>
      <c r="C276" s="5" t="s">
        <v>24</v>
      </c>
      <c r="D276" s="5">
        <f t="shared" ref="D276:D305" si="46">E276*20000</f>
        <v>20000</v>
      </c>
      <c r="E276" s="5">
        <v>1</v>
      </c>
      <c r="F276" s="5">
        <v>0</v>
      </c>
      <c r="G276" s="5">
        <v>0</v>
      </c>
      <c r="H276" s="5">
        <v>0</v>
      </c>
      <c r="I276" s="5">
        <v>1</v>
      </c>
      <c r="J276" s="5">
        <v>0</v>
      </c>
      <c r="K276" s="5">
        <v>23</v>
      </c>
      <c r="L276" s="5">
        <v>0</v>
      </c>
      <c r="M276" s="5">
        <v>0</v>
      </c>
      <c r="N276" s="6">
        <f>400000-L276-H276-F276-D276-Table3[[#This Row],[Column4]]</f>
        <v>380000</v>
      </c>
    </row>
    <row r="277" spans="1:14" x14ac:dyDescent="0.45">
      <c r="A277" s="10">
        <f t="shared" si="45"/>
        <v>276</v>
      </c>
      <c r="B277" s="5" t="s">
        <v>373</v>
      </c>
      <c r="C277" s="5" t="s">
        <v>24</v>
      </c>
      <c r="D277" s="5">
        <f t="shared" si="46"/>
        <v>20000</v>
      </c>
      <c r="E277" s="5">
        <v>1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13</v>
      </c>
      <c r="L277" s="5">
        <v>0</v>
      </c>
      <c r="M277" s="5">
        <v>0</v>
      </c>
      <c r="N277" s="6">
        <f>400000-L277-H277-F277-D277-Table3[[#This Row],[Column4]]</f>
        <v>380000</v>
      </c>
    </row>
    <row r="278" spans="1:14" x14ac:dyDescent="0.45">
      <c r="A278" s="10">
        <f t="shared" si="45"/>
        <v>277</v>
      </c>
      <c r="B278" s="5" t="s">
        <v>374</v>
      </c>
      <c r="C278" s="5" t="s">
        <v>24</v>
      </c>
      <c r="D278" s="5">
        <f t="shared" si="46"/>
        <v>60000</v>
      </c>
      <c r="E278" s="5">
        <v>3</v>
      </c>
      <c r="F278" s="5">
        <v>0</v>
      </c>
      <c r="G278" s="5">
        <v>1</v>
      </c>
      <c r="H278" s="5">
        <v>0</v>
      </c>
      <c r="I278" s="5">
        <v>0</v>
      </c>
      <c r="J278" s="5">
        <v>0</v>
      </c>
      <c r="K278" s="5">
        <v>15</v>
      </c>
      <c r="L278" s="5">
        <v>0</v>
      </c>
      <c r="M278" s="5">
        <v>0</v>
      </c>
      <c r="N278" s="6">
        <f>400000-L278-H278-F278-D278-Table3[[#This Row],[Column4]]</f>
        <v>340000</v>
      </c>
    </row>
    <row r="279" spans="1:14" x14ac:dyDescent="0.45">
      <c r="A279" s="10">
        <f t="shared" si="45"/>
        <v>278</v>
      </c>
      <c r="B279" s="5" t="s">
        <v>375</v>
      </c>
      <c r="C279" s="5" t="s">
        <v>24</v>
      </c>
      <c r="D279" s="5">
        <f t="shared" si="46"/>
        <v>20000</v>
      </c>
      <c r="E279" s="5">
        <v>1</v>
      </c>
      <c r="F279" s="5">
        <v>0</v>
      </c>
      <c r="G279" s="5">
        <v>1</v>
      </c>
      <c r="H279" s="5">
        <v>0</v>
      </c>
      <c r="I279" s="5">
        <v>0</v>
      </c>
      <c r="J279" s="5">
        <v>0</v>
      </c>
      <c r="K279" s="5">
        <v>77</v>
      </c>
      <c r="L279" s="5">
        <v>0</v>
      </c>
      <c r="M279" s="5">
        <v>0</v>
      </c>
      <c r="N279" s="6">
        <f>400000-L279-H279-F279-D279-Table3[[#This Row],[Column4]]</f>
        <v>380000</v>
      </c>
    </row>
    <row r="280" spans="1:14" x14ac:dyDescent="0.45">
      <c r="A280" s="10">
        <f t="shared" si="45"/>
        <v>279</v>
      </c>
      <c r="B280" s="5" t="s">
        <v>376</v>
      </c>
      <c r="C280" s="5" t="s">
        <v>24</v>
      </c>
      <c r="D280" s="5">
        <f t="shared" si="46"/>
        <v>0</v>
      </c>
      <c r="E280" s="5">
        <v>0</v>
      </c>
      <c r="F280" s="5">
        <v>0</v>
      </c>
      <c r="G280" s="5">
        <v>1</v>
      </c>
      <c r="H280" s="5">
        <v>0</v>
      </c>
      <c r="I280" s="5">
        <v>0</v>
      </c>
      <c r="J280" s="5">
        <v>0</v>
      </c>
      <c r="K280" s="5">
        <v>31</v>
      </c>
      <c r="L280" s="5">
        <v>0</v>
      </c>
      <c r="M280" s="5">
        <v>0</v>
      </c>
      <c r="N280" s="6">
        <f>400000-L280-H280-F280-D280-Table3[[#This Row],[Column4]]</f>
        <v>400000</v>
      </c>
    </row>
    <row r="281" spans="1:14" x14ac:dyDescent="0.45">
      <c r="A281" s="10">
        <f t="shared" si="45"/>
        <v>280</v>
      </c>
      <c r="B281" s="5" t="s">
        <v>377</v>
      </c>
      <c r="C281" s="5" t="s">
        <v>24</v>
      </c>
      <c r="D281" s="5">
        <f t="shared" si="46"/>
        <v>20000</v>
      </c>
      <c r="E281" s="5">
        <v>1</v>
      </c>
      <c r="F281" s="5">
        <v>0</v>
      </c>
      <c r="G281" s="5">
        <v>0</v>
      </c>
      <c r="H281" s="5">
        <v>0</v>
      </c>
      <c r="I281" s="5">
        <v>2</v>
      </c>
      <c r="J281" s="5">
        <v>0</v>
      </c>
      <c r="K281" s="5">
        <v>67</v>
      </c>
      <c r="L281" s="5">
        <v>0</v>
      </c>
      <c r="M281" s="5">
        <v>0</v>
      </c>
      <c r="N281" s="6">
        <f>400000-L281-H281-F281-D281-Table3[[#This Row],[Column4]]</f>
        <v>380000</v>
      </c>
    </row>
    <row r="282" spans="1:14" x14ac:dyDescent="0.45">
      <c r="A282" s="10">
        <f t="shared" si="45"/>
        <v>281</v>
      </c>
      <c r="B282" s="5" t="s">
        <v>378</v>
      </c>
      <c r="C282" s="5" t="s">
        <v>24</v>
      </c>
      <c r="D282" s="5">
        <f t="shared" si="46"/>
        <v>40000</v>
      </c>
      <c r="E282" s="5">
        <v>2</v>
      </c>
      <c r="F282" s="5">
        <v>0</v>
      </c>
      <c r="G282" s="5">
        <v>3</v>
      </c>
      <c r="H282" s="5">
        <v>0</v>
      </c>
      <c r="I282" s="5">
        <v>0</v>
      </c>
      <c r="J282" s="5">
        <v>0</v>
      </c>
      <c r="K282" s="5">
        <v>99</v>
      </c>
      <c r="L282" s="5">
        <v>0</v>
      </c>
      <c r="M282" s="5">
        <v>0</v>
      </c>
      <c r="N282" s="6">
        <f>400000-L282-H282-F282-D282-Table3[[#This Row],[Column4]]</f>
        <v>360000</v>
      </c>
    </row>
    <row r="283" spans="1:14" x14ac:dyDescent="0.45">
      <c r="A283" s="10">
        <f t="shared" si="45"/>
        <v>282</v>
      </c>
      <c r="B283" s="5" t="s">
        <v>379</v>
      </c>
      <c r="C283" s="5" t="s">
        <v>24</v>
      </c>
      <c r="D283" s="5">
        <f t="shared" si="46"/>
        <v>100000</v>
      </c>
      <c r="E283" s="5">
        <v>5</v>
      </c>
      <c r="F283" s="5">
        <v>0</v>
      </c>
      <c r="G283" s="5">
        <v>1</v>
      </c>
      <c r="H283" s="5">
        <v>0</v>
      </c>
      <c r="I283" s="5">
        <v>0</v>
      </c>
      <c r="J283" s="5">
        <v>0</v>
      </c>
      <c r="K283" s="5">
        <v>35</v>
      </c>
      <c r="L283" s="5">
        <v>0</v>
      </c>
      <c r="M283" s="5">
        <v>0</v>
      </c>
      <c r="N283" s="6">
        <f>400000-L283-H283-F283-D283-Table3[[#This Row],[Column4]]</f>
        <v>300000</v>
      </c>
    </row>
    <row r="284" spans="1:14" x14ac:dyDescent="0.45">
      <c r="A284" s="10">
        <f t="shared" si="45"/>
        <v>283</v>
      </c>
      <c r="B284" s="5" t="s">
        <v>380</v>
      </c>
      <c r="C284" s="5" t="s">
        <v>24</v>
      </c>
      <c r="D284" s="5">
        <f t="shared" si="46"/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14</v>
      </c>
      <c r="L284" s="5">
        <v>0</v>
      </c>
      <c r="M284" s="5">
        <v>0</v>
      </c>
      <c r="N284" s="6">
        <f>400000-L284-H284-F284-D284-Table3[[#This Row],[Column4]]</f>
        <v>400000</v>
      </c>
    </row>
    <row r="285" spans="1:14" x14ac:dyDescent="0.45">
      <c r="A285" s="10">
        <f t="shared" si="45"/>
        <v>284</v>
      </c>
      <c r="B285" s="5" t="s">
        <v>381</v>
      </c>
      <c r="C285" s="5" t="s">
        <v>24</v>
      </c>
      <c r="D285" s="5">
        <f t="shared" si="46"/>
        <v>20000</v>
      </c>
      <c r="E285" s="5">
        <v>1</v>
      </c>
      <c r="F285" s="5">
        <v>0</v>
      </c>
      <c r="G285" s="5">
        <v>0</v>
      </c>
      <c r="H285" s="5">
        <v>0</v>
      </c>
      <c r="I285" s="5">
        <v>1</v>
      </c>
      <c r="J285" s="5">
        <v>0</v>
      </c>
      <c r="K285" s="5">
        <v>39</v>
      </c>
      <c r="L285" s="5">
        <v>0</v>
      </c>
      <c r="M285" s="5">
        <v>0</v>
      </c>
      <c r="N285" s="6">
        <f>400000-L285-H285-F285-D285-Table3[[#This Row],[Column4]]</f>
        <v>380000</v>
      </c>
    </row>
    <row r="286" spans="1:14" x14ac:dyDescent="0.45">
      <c r="A286" s="10">
        <f t="shared" si="45"/>
        <v>285</v>
      </c>
      <c r="B286" s="5" t="s">
        <v>382</v>
      </c>
      <c r="C286" s="5" t="s">
        <v>24</v>
      </c>
      <c r="D286" s="5">
        <f t="shared" si="46"/>
        <v>20000</v>
      </c>
      <c r="E286" s="5">
        <v>1</v>
      </c>
      <c r="F286" s="5">
        <v>0</v>
      </c>
      <c r="G286" s="5">
        <v>2</v>
      </c>
      <c r="H286" s="5">
        <v>0</v>
      </c>
      <c r="I286" s="5">
        <v>0</v>
      </c>
      <c r="J286" s="5">
        <v>0</v>
      </c>
      <c r="K286" s="5">
        <v>16</v>
      </c>
      <c r="L286" s="5">
        <v>0</v>
      </c>
      <c r="M286" s="5">
        <v>0</v>
      </c>
      <c r="N286" s="6">
        <f>400000-L286-H286-F286-D286-Table3[[#This Row],[Column4]]</f>
        <v>380000</v>
      </c>
    </row>
    <row r="287" spans="1:14" x14ac:dyDescent="0.45">
      <c r="A287" s="10">
        <f t="shared" si="45"/>
        <v>286</v>
      </c>
      <c r="B287" s="5" t="s">
        <v>383</v>
      </c>
      <c r="C287" s="5" t="s">
        <v>24</v>
      </c>
      <c r="D287" s="5">
        <f t="shared" si="46"/>
        <v>80000</v>
      </c>
      <c r="E287" s="5">
        <v>4</v>
      </c>
      <c r="F287" s="5">
        <v>0</v>
      </c>
      <c r="G287" s="5">
        <v>1</v>
      </c>
      <c r="H287" s="5">
        <v>0</v>
      </c>
      <c r="I287" s="5">
        <v>0</v>
      </c>
      <c r="J287" s="5">
        <v>0</v>
      </c>
      <c r="K287" s="5">
        <v>32</v>
      </c>
      <c r="L287" s="5">
        <v>0</v>
      </c>
      <c r="M287" s="5">
        <v>0</v>
      </c>
      <c r="N287" s="6">
        <f>400000-L287-H287-F287-D287-Table3[[#This Row],[Column4]]</f>
        <v>320000</v>
      </c>
    </row>
    <row r="288" spans="1:14" x14ac:dyDescent="0.45">
      <c r="A288" s="10">
        <f t="shared" si="45"/>
        <v>287</v>
      </c>
      <c r="B288" s="5" t="s">
        <v>384</v>
      </c>
      <c r="C288" s="5" t="s">
        <v>24</v>
      </c>
      <c r="D288" s="5">
        <f t="shared" si="46"/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32</v>
      </c>
      <c r="L288" s="5">
        <v>0</v>
      </c>
      <c r="M288" s="5">
        <v>0</v>
      </c>
      <c r="N288" s="6">
        <f>400000-L288-H288-F288-D288-Table3[[#This Row],[Column4]]</f>
        <v>400000</v>
      </c>
    </row>
    <row r="289" spans="1:14" x14ac:dyDescent="0.45">
      <c r="A289" s="10">
        <f t="shared" si="45"/>
        <v>288</v>
      </c>
      <c r="B289" s="5" t="s">
        <v>385</v>
      </c>
      <c r="C289" s="5" t="s">
        <v>24</v>
      </c>
      <c r="D289" s="5">
        <f t="shared" si="46"/>
        <v>80000</v>
      </c>
      <c r="E289" s="5">
        <v>4</v>
      </c>
      <c r="F289" s="5">
        <v>0</v>
      </c>
      <c r="G289" s="5">
        <v>0</v>
      </c>
      <c r="H289" s="5">
        <v>0</v>
      </c>
      <c r="I289" s="5">
        <v>1</v>
      </c>
      <c r="J289" s="5">
        <v>0</v>
      </c>
      <c r="K289" s="5">
        <v>35</v>
      </c>
      <c r="L289" s="5">
        <v>0</v>
      </c>
      <c r="M289" s="5">
        <v>0</v>
      </c>
      <c r="N289" s="6">
        <f>400000-L289-H289-F289-D289-Table3[[#This Row],[Column4]]</f>
        <v>320000</v>
      </c>
    </row>
    <row r="290" spans="1:14" x14ac:dyDescent="0.45">
      <c r="A290" s="10">
        <f t="shared" si="45"/>
        <v>289</v>
      </c>
      <c r="B290" s="5" t="s">
        <v>386</v>
      </c>
      <c r="C290" s="5" t="s">
        <v>24</v>
      </c>
      <c r="D290" s="5">
        <f t="shared" si="46"/>
        <v>0</v>
      </c>
      <c r="E290" s="5">
        <v>0</v>
      </c>
      <c r="F290" s="5">
        <v>0</v>
      </c>
      <c r="G290" s="5">
        <v>0</v>
      </c>
      <c r="H290" s="5">
        <v>0</v>
      </c>
      <c r="I290" s="5">
        <v>2</v>
      </c>
      <c r="J290" s="5">
        <v>0</v>
      </c>
      <c r="K290" s="5">
        <v>12</v>
      </c>
      <c r="L290" s="5">
        <v>0</v>
      </c>
      <c r="M290" s="5">
        <v>0</v>
      </c>
      <c r="N290" s="6">
        <f>400000-L290-H290-F290-D290-Table3[[#This Row],[Column4]]</f>
        <v>400000</v>
      </c>
    </row>
    <row r="291" spans="1:14" x14ac:dyDescent="0.45">
      <c r="A291" s="10">
        <f t="shared" si="45"/>
        <v>290</v>
      </c>
      <c r="B291" s="5" t="s">
        <v>387</v>
      </c>
      <c r="C291" s="5" t="s">
        <v>24</v>
      </c>
      <c r="D291" s="5">
        <f t="shared" si="46"/>
        <v>0</v>
      </c>
      <c r="E291" s="5">
        <v>0</v>
      </c>
      <c r="F291" s="5">
        <v>0</v>
      </c>
      <c r="G291" s="5">
        <v>0</v>
      </c>
      <c r="H291" s="5">
        <v>0</v>
      </c>
      <c r="I291" s="5">
        <v>1</v>
      </c>
      <c r="J291" s="5">
        <v>0</v>
      </c>
      <c r="K291" s="5">
        <v>26</v>
      </c>
      <c r="L291" s="5">
        <v>0</v>
      </c>
      <c r="M291" s="5">
        <v>0</v>
      </c>
      <c r="N291" s="6">
        <f>400000-L291-H291-F291-D291-Table3[[#This Row],[Column4]]</f>
        <v>400000</v>
      </c>
    </row>
    <row r="292" spans="1:14" x14ac:dyDescent="0.45">
      <c r="A292" s="10">
        <f t="shared" si="45"/>
        <v>291</v>
      </c>
      <c r="B292" s="5" t="s">
        <v>388</v>
      </c>
      <c r="C292" s="5" t="s">
        <v>24</v>
      </c>
      <c r="D292" s="5">
        <f t="shared" si="46"/>
        <v>20000</v>
      </c>
      <c r="E292" s="5">
        <v>1</v>
      </c>
      <c r="F292" s="5">
        <v>0</v>
      </c>
      <c r="G292" s="5">
        <v>0</v>
      </c>
      <c r="H292" s="5">
        <v>0</v>
      </c>
      <c r="I292" s="5">
        <v>1</v>
      </c>
      <c r="J292" s="5">
        <v>0</v>
      </c>
      <c r="K292" s="5">
        <v>18</v>
      </c>
      <c r="L292" s="5">
        <v>0</v>
      </c>
      <c r="M292" s="5">
        <v>0</v>
      </c>
      <c r="N292" s="6">
        <f>400000-L292-H292-F292-D292-Table3[[#This Row],[Column4]]</f>
        <v>380000</v>
      </c>
    </row>
    <row r="293" spans="1:14" x14ac:dyDescent="0.45">
      <c r="A293" s="10">
        <f t="shared" si="45"/>
        <v>292</v>
      </c>
      <c r="B293" s="5" t="s">
        <v>389</v>
      </c>
      <c r="C293" s="5" t="s">
        <v>24</v>
      </c>
      <c r="D293" s="5">
        <f t="shared" si="46"/>
        <v>20000</v>
      </c>
      <c r="E293" s="5">
        <v>1</v>
      </c>
      <c r="F293" s="5">
        <v>0</v>
      </c>
      <c r="G293" s="5">
        <v>0</v>
      </c>
      <c r="H293" s="5">
        <v>0</v>
      </c>
      <c r="I293" s="5">
        <v>1</v>
      </c>
      <c r="J293" s="5">
        <v>0</v>
      </c>
      <c r="K293" s="5">
        <v>21</v>
      </c>
      <c r="L293" s="5">
        <v>0</v>
      </c>
      <c r="M293" s="5">
        <v>0</v>
      </c>
      <c r="N293" s="6">
        <f>400000-L293-H293-F293-D293-Table3[[#This Row],[Column4]]</f>
        <v>380000</v>
      </c>
    </row>
    <row r="294" spans="1:14" x14ac:dyDescent="0.45">
      <c r="A294" s="10">
        <f t="shared" si="45"/>
        <v>293</v>
      </c>
      <c r="B294" s="5" t="s">
        <v>390</v>
      </c>
      <c r="C294" s="5" t="s">
        <v>24</v>
      </c>
      <c r="D294" s="5">
        <f t="shared" si="46"/>
        <v>260000</v>
      </c>
      <c r="E294" s="5">
        <v>13</v>
      </c>
      <c r="F294" s="5">
        <v>0</v>
      </c>
      <c r="G294" s="5">
        <v>1</v>
      </c>
      <c r="H294" s="5">
        <v>0</v>
      </c>
      <c r="I294" s="5">
        <v>0</v>
      </c>
      <c r="J294" s="5">
        <v>0</v>
      </c>
      <c r="K294" s="5">
        <v>85</v>
      </c>
      <c r="L294" s="5">
        <v>0</v>
      </c>
      <c r="M294" s="5">
        <v>0</v>
      </c>
      <c r="N294" s="6">
        <f>400000-L294-H294-F294-D294-Table3[[#This Row],[Column4]]</f>
        <v>140000</v>
      </c>
    </row>
    <row r="295" spans="1:14" x14ac:dyDescent="0.45">
      <c r="A295" s="10">
        <f t="shared" si="45"/>
        <v>294</v>
      </c>
      <c r="B295" s="5" t="s">
        <v>391</v>
      </c>
      <c r="C295" s="5" t="s">
        <v>24</v>
      </c>
      <c r="D295" s="5">
        <f t="shared" si="46"/>
        <v>0</v>
      </c>
      <c r="E295" s="5">
        <v>0</v>
      </c>
      <c r="F295" s="5">
        <v>0</v>
      </c>
      <c r="G295" s="5">
        <v>0</v>
      </c>
      <c r="H295" s="5">
        <v>0</v>
      </c>
      <c r="I295" s="5">
        <v>1</v>
      </c>
      <c r="J295" s="5">
        <v>0</v>
      </c>
      <c r="K295" s="5">
        <v>16</v>
      </c>
      <c r="L295" s="5">
        <v>0</v>
      </c>
      <c r="M295" s="5">
        <v>0</v>
      </c>
      <c r="N295" s="6">
        <f>400000-L295-H295-F295-D295-Table3[[#This Row],[Column4]]</f>
        <v>400000</v>
      </c>
    </row>
    <row r="296" spans="1:14" x14ac:dyDescent="0.45">
      <c r="A296" s="10">
        <f t="shared" si="45"/>
        <v>295</v>
      </c>
      <c r="B296" s="5" t="s">
        <v>392</v>
      </c>
      <c r="C296" s="5" t="s">
        <v>24</v>
      </c>
      <c r="D296" s="5">
        <f t="shared" si="46"/>
        <v>0</v>
      </c>
      <c r="E296" s="5">
        <v>0</v>
      </c>
      <c r="F296" s="5">
        <v>0</v>
      </c>
      <c r="G296" s="5">
        <v>2</v>
      </c>
      <c r="H296" s="5">
        <v>0</v>
      </c>
      <c r="I296" s="5">
        <v>0</v>
      </c>
      <c r="J296" s="5">
        <v>0</v>
      </c>
      <c r="K296" s="5">
        <v>46</v>
      </c>
      <c r="L296" s="5">
        <v>0</v>
      </c>
      <c r="M296" s="5">
        <v>0</v>
      </c>
      <c r="N296" s="6">
        <f>400000-L296-H296-F296-D296-Table3[[#This Row],[Column4]]</f>
        <v>400000</v>
      </c>
    </row>
    <row r="297" spans="1:14" x14ac:dyDescent="0.45">
      <c r="A297" s="10">
        <f t="shared" si="45"/>
        <v>296</v>
      </c>
      <c r="B297" s="5" t="s">
        <v>393</v>
      </c>
      <c r="C297" s="5" t="s">
        <v>24</v>
      </c>
      <c r="D297" s="5">
        <f t="shared" si="46"/>
        <v>40000</v>
      </c>
      <c r="E297" s="5">
        <v>2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40</v>
      </c>
      <c r="L297" s="5">
        <v>0</v>
      </c>
      <c r="M297" s="5">
        <v>0</v>
      </c>
      <c r="N297" s="6">
        <f>400000-L297-H297-F297-D297-Table3[[#This Row],[Column4]]</f>
        <v>360000</v>
      </c>
    </row>
    <row r="298" spans="1:14" x14ac:dyDescent="0.45">
      <c r="A298" s="10">
        <f t="shared" si="45"/>
        <v>297</v>
      </c>
      <c r="B298" s="5" t="s">
        <v>394</v>
      </c>
      <c r="C298" s="5" t="s">
        <v>24</v>
      </c>
      <c r="D298" s="5">
        <f t="shared" si="46"/>
        <v>60000</v>
      </c>
      <c r="E298" s="5">
        <v>3</v>
      </c>
      <c r="F298" s="5">
        <v>0</v>
      </c>
      <c r="G298" s="5">
        <v>1</v>
      </c>
      <c r="H298" s="5">
        <v>0</v>
      </c>
      <c r="I298" s="5">
        <v>0</v>
      </c>
      <c r="J298" s="5">
        <v>0</v>
      </c>
      <c r="K298" s="5">
        <v>22</v>
      </c>
      <c r="L298" s="5">
        <v>0</v>
      </c>
      <c r="M298" s="5">
        <v>0</v>
      </c>
      <c r="N298" s="6">
        <f>400000-L298-H298-F298-D298-Table3[[#This Row],[Column4]]</f>
        <v>340000</v>
      </c>
    </row>
    <row r="299" spans="1:14" x14ac:dyDescent="0.45">
      <c r="A299" s="10">
        <f t="shared" si="45"/>
        <v>298</v>
      </c>
      <c r="B299" s="5" t="s">
        <v>395</v>
      </c>
      <c r="C299" s="5" t="s">
        <v>24</v>
      </c>
      <c r="D299" s="5">
        <f t="shared" si="46"/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6">
        <f>400000-L299-H299-F299-D299-Table3[[#This Row],[Column4]]</f>
        <v>400000</v>
      </c>
    </row>
    <row r="300" spans="1:14" x14ac:dyDescent="0.45">
      <c r="A300" s="10">
        <f t="shared" si="45"/>
        <v>299</v>
      </c>
      <c r="B300" s="5" t="s">
        <v>396</v>
      </c>
      <c r="C300" s="5" t="s">
        <v>24</v>
      </c>
      <c r="D300" s="5">
        <f t="shared" si="46"/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6">
        <f>400000-L300-H300-F300-D300-Table3[[#This Row],[Column4]]</f>
        <v>400000</v>
      </c>
    </row>
    <row r="301" spans="1:14" x14ac:dyDescent="0.45">
      <c r="A301" s="10">
        <f t="shared" si="45"/>
        <v>300</v>
      </c>
      <c r="B301" s="5" t="s">
        <v>397</v>
      </c>
      <c r="C301" s="5" t="s">
        <v>24</v>
      </c>
      <c r="D301" s="5">
        <f t="shared" si="46"/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6">
        <f>400000-L301-H301-F301-D301-Table3[[#This Row],[Column4]]</f>
        <v>400000</v>
      </c>
    </row>
    <row r="302" spans="1:14" x14ac:dyDescent="0.45">
      <c r="A302" s="10">
        <f t="shared" si="45"/>
        <v>301</v>
      </c>
      <c r="B302" s="5" t="s">
        <v>398</v>
      </c>
      <c r="C302" s="5" t="s">
        <v>24</v>
      </c>
      <c r="D302" s="5">
        <f t="shared" si="46"/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6">
        <f>400000-L302-H302-F302-D302-Table3[[#This Row],[Column4]]</f>
        <v>400000</v>
      </c>
    </row>
    <row r="303" spans="1:14" x14ac:dyDescent="0.45">
      <c r="A303" s="10">
        <f t="shared" si="45"/>
        <v>302</v>
      </c>
      <c r="B303" s="5" t="s">
        <v>399</v>
      </c>
      <c r="C303" s="5" t="s">
        <v>24</v>
      </c>
      <c r="D303" s="5">
        <f t="shared" si="46"/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6">
        <f>400000-L303-H303-F303-D303-Table3[[#This Row],[Column4]]</f>
        <v>400000</v>
      </c>
    </row>
    <row r="304" spans="1:14" x14ac:dyDescent="0.45">
      <c r="A304" s="10">
        <f t="shared" si="45"/>
        <v>303</v>
      </c>
      <c r="B304" s="5" t="s">
        <v>400</v>
      </c>
      <c r="C304" s="5" t="s">
        <v>24</v>
      </c>
      <c r="D304" s="5">
        <f t="shared" si="46"/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6">
        <f>400000-L304-H304-F304-D304-Table3[[#This Row],[Column4]]</f>
        <v>400000</v>
      </c>
    </row>
    <row r="305" spans="1:14" x14ac:dyDescent="0.45">
      <c r="A305" s="10">
        <f t="shared" si="45"/>
        <v>304</v>
      </c>
      <c r="B305" s="5" t="s">
        <v>401</v>
      </c>
      <c r="C305" s="5" t="s">
        <v>24</v>
      </c>
      <c r="D305" s="5">
        <f t="shared" si="46"/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6">
        <f>400000-L305-H305-F305-D305-Table3[[#This Row],[Column4]]</f>
        <v>400000</v>
      </c>
    </row>
  </sheetData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مرجع!$A:$A</xm:f>
          </x14:formula1>
          <xm:sqref>B2:B305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05"/>
  <sheetViews>
    <sheetView rightToLeft="1" topLeftCell="B1" workbookViewId="0">
      <selection activeCell="M24" sqref="M24"/>
    </sheetView>
  </sheetViews>
  <sheetFormatPr defaultRowHeight="14.25" x14ac:dyDescent="0.45"/>
  <cols>
    <col min="1" max="1" width="9.59765625" style="8" customWidth="1"/>
    <col min="2" max="2" width="10.3984375" style="8" bestFit="1" customWidth="1"/>
    <col min="3" max="3" width="22.1328125" style="8" bestFit="1" customWidth="1"/>
    <col min="4" max="4" width="15.265625" style="8" hidden="1" customWidth="1"/>
    <col min="5" max="5" width="13.3984375" style="8" bestFit="1" customWidth="1"/>
    <col min="6" max="6" width="15.3984375" style="8" hidden="1" customWidth="1"/>
    <col min="7" max="7" width="13.3984375" style="8" bestFit="1" customWidth="1"/>
    <col min="8" max="8" width="15.73046875" style="8" hidden="1" customWidth="1"/>
    <col min="9" max="9" width="13.86328125" style="8" bestFit="1" customWidth="1"/>
    <col min="10" max="10" width="15.59765625" style="8" hidden="1" customWidth="1"/>
    <col min="11" max="11" width="16.59765625" style="8" customWidth="1"/>
    <col min="12" max="12" width="15.59765625" style="8" hidden="1" customWidth="1"/>
    <col min="13" max="13" width="17.3984375" style="8" bestFit="1" customWidth="1"/>
    <col min="14" max="14" width="15.59765625" style="8" customWidth="1"/>
  </cols>
  <sheetData>
    <row r="1" spans="1:14" ht="21.4" x14ac:dyDescent="1">
      <c r="A1" s="11" t="s">
        <v>343</v>
      </c>
      <c r="B1" s="12" t="s">
        <v>0</v>
      </c>
      <c r="C1" s="12" t="s">
        <v>342</v>
      </c>
      <c r="D1" s="12" t="s">
        <v>349</v>
      </c>
      <c r="E1" s="12" t="s">
        <v>360</v>
      </c>
      <c r="F1" s="12" t="s">
        <v>350</v>
      </c>
      <c r="G1" s="12" t="s">
        <v>361</v>
      </c>
      <c r="H1" s="12" t="s">
        <v>351</v>
      </c>
      <c r="I1" s="12" t="s">
        <v>362</v>
      </c>
      <c r="J1" s="12" t="s">
        <v>352</v>
      </c>
      <c r="K1" s="12" t="s">
        <v>363</v>
      </c>
      <c r="L1" s="12" t="s">
        <v>353</v>
      </c>
      <c r="M1" s="12" t="s">
        <v>364</v>
      </c>
      <c r="N1" s="13" t="s">
        <v>346</v>
      </c>
    </row>
    <row r="2" spans="1:14" x14ac:dyDescent="0.45">
      <c r="A2" s="10">
        <f>ROW(A2)-1</f>
        <v>1</v>
      </c>
      <c r="B2" s="5" t="s">
        <v>68</v>
      </c>
      <c r="C2" s="5" t="s">
        <v>354</v>
      </c>
      <c r="D2" s="5">
        <f>E2*5000</f>
        <v>5000</v>
      </c>
      <c r="E2" s="5">
        <v>1</v>
      </c>
      <c r="F2" s="5">
        <f t="shared" ref="F2:F33" si="0">G2*100000</f>
        <v>0</v>
      </c>
      <c r="G2" s="5">
        <v>0</v>
      </c>
      <c r="H2" s="5">
        <f t="shared" ref="H2:H33" si="1">I2*20000</f>
        <v>0</v>
      </c>
      <c r="I2" s="5">
        <v>0</v>
      </c>
      <c r="J2" s="5">
        <f t="shared" ref="J2:J65" si="2">K2*20000</f>
        <v>60000</v>
      </c>
      <c r="K2" s="5">
        <v>3</v>
      </c>
      <c r="L2" s="5">
        <f t="shared" ref="L2:L33" si="3">M2*30000</f>
        <v>60000</v>
      </c>
      <c r="M2" s="5">
        <v>2</v>
      </c>
      <c r="N2" s="6">
        <f t="shared" ref="N2:N33" si="4">200000-L2-J2-H2-F2-D2</f>
        <v>75000</v>
      </c>
    </row>
    <row r="3" spans="1:14" x14ac:dyDescent="0.45">
      <c r="A3" s="10">
        <f t="shared" ref="A3:A66" si="5">ROW(A3)-1</f>
        <v>2</v>
      </c>
      <c r="B3" s="5" t="s">
        <v>69</v>
      </c>
      <c r="C3" s="5" t="s">
        <v>354</v>
      </c>
      <c r="D3" s="5">
        <f t="shared" ref="D3:D66" si="6">E3*5000</f>
        <v>0</v>
      </c>
      <c r="E3" s="5">
        <v>0</v>
      </c>
      <c r="F3" s="5">
        <f t="shared" si="0"/>
        <v>0</v>
      </c>
      <c r="G3" s="5">
        <v>0</v>
      </c>
      <c r="H3" s="5">
        <f t="shared" si="1"/>
        <v>20000</v>
      </c>
      <c r="I3" s="5">
        <v>1</v>
      </c>
      <c r="J3" s="5">
        <f t="shared" si="2"/>
        <v>60000</v>
      </c>
      <c r="K3" s="5">
        <v>3</v>
      </c>
      <c r="L3" s="5">
        <f t="shared" si="3"/>
        <v>60000</v>
      </c>
      <c r="M3" s="5">
        <v>2</v>
      </c>
      <c r="N3" s="6">
        <f t="shared" si="4"/>
        <v>60000</v>
      </c>
    </row>
    <row r="4" spans="1:14" x14ac:dyDescent="0.45">
      <c r="A4" s="10">
        <f t="shared" si="5"/>
        <v>3</v>
      </c>
      <c r="B4" s="5" t="s">
        <v>70</v>
      </c>
      <c r="C4" s="5" t="s">
        <v>354</v>
      </c>
      <c r="D4" s="5">
        <f t="shared" si="6"/>
        <v>0</v>
      </c>
      <c r="E4" s="5">
        <v>0</v>
      </c>
      <c r="F4" s="5">
        <f t="shared" si="0"/>
        <v>0</v>
      </c>
      <c r="G4" s="5">
        <v>0</v>
      </c>
      <c r="H4" s="5">
        <f t="shared" si="1"/>
        <v>0</v>
      </c>
      <c r="I4" s="5">
        <v>0</v>
      </c>
      <c r="J4" s="5">
        <f t="shared" si="2"/>
        <v>20000</v>
      </c>
      <c r="K4" s="5">
        <v>1</v>
      </c>
      <c r="L4" s="5">
        <f t="shared" si="3"/>
        <v>0</v>
      </c>
      <c r="M4" s="5"/>
      <c r="N4" s="6">
        <f t="shared" si="4"/>
        <v>180000</v>
      </c>
    </row>
    <row r="5" spans="1:14" x14ac:dyDescent="0.45">
      <c r="A5" s="10">
        <f t="shared" si="5"/>
        <v>4</v>
      </c>
      <c r="B5" s="5" t="s">
        <v>71</v>
      </c>
      <c r="C5" s="5" t="s">
        <v>354</v>
      </c>
      <c r="D5" s="5">
        <f t="shared" si="6"/>
        <v>0</v>
      </c>
      <c r="E5" s="5">
        <v>0</v>
      </c>
      <c r="F5" s="5">
        <f t="shared" si="0"/>
        <v>0</v>
      </c>
      <c r="G5" s="5">
        <v>0</v>
      </c>
      <c r="H5" s="5">
        <f t="shared" si="1"/>
        <v>0</v>
      </c>
      <c r="I5" s="5">
        <v>0</v>
      </c>
      <c r="J5" s="5">
        <f t="shared" si="2"/>
        <v>60000</v>
      </c>
      <c r="K5" s="5">
        <v>3</v>
      </c>
      <c r="L5" s="5">
        <f t="shared" si="3"/>
        <v>30000</v>
      </c>
      <c r="M5" s="5">
        <v>1</v>
      </c>
      <c r="N5" s="6">
        <f t="shared" si="4"/>
        <v>110000</v>
      </c>
    </row>
    <row r="6" spans="1:14" x14ac:dyDescent="0.45">
      <c r="A6" s="10">
        <f t="shared" si="5"/>
        <v>5</v>
      </c>
      <c r="B6" s="5" t="s">
        <v>72</v>
      </c>
      <c r="C6" s="5" t="s">
        <v>354</v>
      </c>
      <c r="D6" s="5">
        <f t="shared" si="6"/>
        <v>0</v>
      </c>
      <c r="E6" s="5">
        <v>0</v>
      </c>
      <c r="F6" s="5">
        <f t="shared" si="0"/>
        <v>0</v>
      </c>
      <c r="G6" s="5">
        <v>0</v>
      </c>
      <c r="H6" s="5">
        <f t="shared" si="1"/>
        <v>0</v>
      </c>
      <c r="I6" s="5">
        <v>0</v>
      </c>
      <c r="J6" s="5">
        <f t="shared" si="2"/>
        <v>20000</v>
      </c>
      <c r="K6" s="5">
        <v>1</v>
      </c>
      <c r="L6" s="5">
        <f t="shared" si="3"/>
        <v>30000</v>
      </c>
      <c r="M6" s="5">
        <v>1</v>
      </c>
      <c r="N6" s="6">
        <f t="shared" si="4"/>
        <v>150000</v>
      </c>
    </row>
    <row r="7" spans="1:14" x14ac:dyDescent="0.45">
      <c r="A7" s="10">
        <f t="shared" si="5"/>
        <v>6</v>
      </c>
      <c r="B7" s="5" t="s">
        <v>73</v>
      </c>
      <c r="C7" s="5" t="s">
        <v>354</v>
      </c>
      <c r="D7" s="5">
        <f t="shared" si="6"/>
        <v>0</v>
      </c>
      <c r="E7" s="5">
        <v>0</v>
      </c>
      <c r="F7" s="5">
        <f t="shared" si="0"/>
        <v>0</v>
      </c>
      <c r="G7" s="5">
        <v>0</v>
      </c>
      <c r="H7" s="5">
        <f t="shared" si="1"/>
        <v>0</v>
      </c>
      <c r="I7" s="5">
        <v>0</v>
      </c>
      <c r="J7" s="5">
        <f t="shared" si="2"/>
        <v>20000</v>
      </c>
      <c r="K7" s="5">
        <v>1</v>
      </c>
      <c r="L7" s="5">
        <f t="shared" si="3"/>
        <v>0</v>
      </c>
      <c r="M7" s="5"/>
      <c r="N7" s="6">
        <f t="shared" si="4"/>
        <v>180000</v>
      </c>
    </row>
    <row r="8" spans="1:14" x14ac:dyDescent="0.45">
      <c r="A8" s="10">
        <f t="shared" si="5"/>
        <v>7</v>
      </c>
      <c r="B8" s="5" t="s">
        <v>74</v>
      </c>
      <c r="C8" s="5" t="s">
        <v>354</v>
      </c>
      <c r="D8" s="5">
        <f t="shared" si="6"/>
        <v>0</v>
      </c>
      <c r="E8" s="5">
        <v>0</v>
      </c>
      <c r="F8" s="5">
        <f t="shared" si="0"/>
        <v>0</v>
      </c>
      <c r="G8" s="5">
        <v>0</v>
      </c>
      <c r="H8" s="5">
        <f t="shared" si="1"/>
        <v>0</v>
      </c>
      <c r="I8" s="5">
        <v>0</v>
      </c>
      <c r="J8" s="5">
        <f t="shared" si="2"/>
        <v>80000</v>
      </c>
      <c r="K8" s="5">
        <v>4</v>
      </c>
      <c r="L8" s="5">
        <f t="shared" si="3"/>
        <v>60000</v>
      </c>
      <c r="M8" s="5">
        <v>2</v>
      </c>
      <c r="N8" s="6">
        <f t="shared" si="4"/>
        <v>60000</v>
      </c>
    </row>
    <row r="9" spans="1:14" x14ac:dyDescent="0.45">
      <c r="A9" s="10">
        <f t="shared" si="5"/>
        <v>8</v>
      </c>
      <c r="B9" s="5" t="s">
        <v>75</v>
      </c>
      <c r="C9" s="5" t="s">
        <v>354</v>
      </c>
      <c r="D9" s="5">
        <f t="shared" si="6"/>
        <v>0</v>
      </c>
      <c r="E9" s="5">
        <v>0</v>
      </c>
      <c r="F9" s="5">
        <f t="shared" si="0"/>
        <v>0</v>
      </c>
      <c r="G9" s="5">
        <v>0</v>
      </c>
      <c r="H9" s="5">
        <f t="shared" si="1"/>
        <v>0</v>
      </c>
      <c r="I9" s="5">
        <v>0</v>
      </c>
      <c r="J9" s="5">
        <f t="shared" si="2"/>
        <v>20000</v>
      </c>
      <c r="K9" s="5">
        <v>1</v>
      </c>
      <c r="L9" s="5">
        <f t="shared" si="3"/>
        <v>30000</v>
      </c>
      <c r="M9" s="5">
        <v>1</v>
      </c>
      <c r="N9" s="6">
        <v>150000</v>
      </c>
    </row>
    <row r="10" spans="1:14" x14ac:dyDescent="0.45">
      <c r="A10" s="10">
        <f t="shared" si="5"/>
        <v>9</v>
      </c>
      <c r="B10" s="5" t="s">
        <v>76</v>
      </c>
      <c r="C10" s="5" t="s">
        <v>354</v>
      </c>
      <c r="D10" s="5">
        <f t="shared" si="6"/>
        <v>0</v>
      </c>
      <c r="E10" s="5">
        <v>0</v>
      </c>
      <c r="F10" s="5">
        <f t="shared" si="0"/>
        <v>0</v>
      </c>
      <c r="G10" s="5">
        <v>0</v>
      </c>
      <c r="H10" s="5">
        <f t="shared" si="1"/>
        <v>20000</v>
      </c>
      <c r="I10" s="5">
        <v>1</v>
      </c>
      <c r="J10" s="5">
        <f t="shared" si="2"/>
        <v>40000</v>
      </c>
      <c r="K10" s="5">
        <v>2</v>
      </c>
      <c r="L10" s="5">
        <f t="shared" si="3"/>
        <v>30000</v>
      </c>
      <c r="M10" s="5">
        <v>1</v>
      </c>
      <c r="N10" s="6">
        <v>110000</v>
      </c>
    </row>
    <row r="11" spans="1:14" x14ac:dyDescent="0.45">
      <c r="A11" s="10">
        <f t="shared" si="5"/>
        <v>10</v>
      </c>
      <c r="B11" s="5" t="s">
        <v>77</v>
      </c>
      <c r="C11" s="5" t="s">
        <v>354</v>
      </c>
      <c r="D11" s="5">
        <f t="shared" si="6"/>
        <v>0</v>
      </c>
      <c r="E11" s="5">
        <v>0</v>
      </c>
      <c r="F11" s="5">
        <f t="shared" si="0"/>
        <v>0</v>
      </c>
      <c r="G11" s="5">
        <v>0</v>
      </c>
      <c r="H11" s="5">
        <f t="shared" si="1"/>
        <v>20000</v>
      </c>
      <c r="I11" s="5">
        <v>1</v>
      </c>
      <c r="J11" s="5">
        <f t="shared" si="2"/>
        <v>0</v>
      </c>
      <c r="K11" s="5">
        <v>0</v>
      </c>
      <c r="L11" s="5">
        <f t="shared" si="3"/>
        <v>0</v>
      </c>
      <c r="M11" s="5">
        <v>0</v>
      </c>
      <c r="N11" s="6">
        <f t="shared" si="4"/>
        <v>180000</v>
      </c>
    </row>
    <row r="12" spans="1:14" x14ac:dyDescent="0.45">
      <c r="A12" s="10">
        <f t="shared" si="5"/>
        <v>11</v>
      </c>
      <c r="B12" s="5" t="s">
        <v>78</v>
      </c>
      <c r="C12" s="5" t="s">
        <v>354</v>
      </c>
      <c r="D12" s="5">
        <f t="shared" si="6"/>
        <v>0</v>
      </c>
      <c r="E12" s="5">
        <v>0</v>
      </c>
      <c r="F12" s="5">
        <f t="shared" si="0"/>
        <v>0</v>
      </c>
      <c r="G12" s="5">
        <v>0</v>
      </c>
      <c r="H12" s="5">
        <f t="shared" si="1"/>
        <v>20000</v>
      </c>
      <c r="I12" s="5">
        <v>1</v>
      </c>
      <c r="J12" s="5">
        <f t="shared" si="2"/>
        <v>60000</v>
      </c>
      <c r="K12" s="5">
        <v>3</v>
      </c>
      <c r="L12" s="5">
        <f t="shared" si="3"/>
        <v>90000</v>
      </c>
      <c r="M12" s="5">
        <v>3</v>
      </c>
      <c r="N12" s="6">
        <f t="shared" si="4"/>
        <v>30000</v>
      </c>
    </row>
    <row r="13" spans="1:14" x14ac:dyDescent="0.45">
      <c r="A13" s="10">
        <f t="shared" si="5"/>
        <v>12</v>
      </c>
      <c r="B13" s="5" t="s">
        <v>79</v>
      </c>
      <c r="C13" s="5" t="s">
        <v>354</v>
      </c>
      <c r="D13" s="5">
        <f t="shared" si="6"/>
        <v>0</v>
      </c>
      <c r="E13" s="5">
        <v>0</v>
      </c>
      <c r="F13" s="5">
        <f t="shared" si="0"/>
        <v>0</v>
      </c>
      <c r="G13" s="5">
        <v>0</v>
      </c>
      <c r="H13" s="5">
        <f t="shared" si="1"/>
        <v>0</v>
      </c>
      <c r="I13" s="5">
        <v>0</v>
      </c>
      <c r="J13" s="5">
        <f t="shared" si="2"/>
        <v>40000</v>
      </c>
      <c r="K13" s="5">
        <v>2</v>
      </c>
      <c r="L13" s="5">
        <f t="shared" si="3"/>
        <v>60000</v>
      </c>
      <c r="M13" s="5">
        <v>2</v>
      </c>
      <c r="N13" s="6">
        <f t="shared" si="4"/>
        <v>100000</v>
      </c>
    </row>
    <row r="14" spans="1:14" x14ac:dyDescent="0.45">
      <c r="A14" s="10">
        <f t="shared" si="5"/>
        <v>13</v>
      </c>
      <c r="B14" s="5" t="s">
        <v>80</v>
      </c>
      <c r="C14" s="5" t="s">
        <v>354</v>
      </c>
      <c r="D14" s="5">
        <f t="shared" si="6"/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f t="shared" si="2"/>
        <v>20000</v>
      </c>
      <c r="K14" s="5">
        <v>1</v>
      </c>
      <c r="L14" s="5">
        <f t="shared" si="3"/>
        <v>0</v>
      </c>
      <c r="M14" s="5">
        <v>0</v>
      </c>
      <c r="N14" s="6">
        <f t="shared" si="4"/>
        <v>180000</v>
      </c>
    </row>
    <row r="15" spans="1:14" x14ac:dyDescent="0.45">
      <c r="A15" s="10">
        <f t="shared" si="5"/>
        <v>14</v>
      </c>
      <c r="B15" s="5" t="s">
        <v>81</v>
      </c>
      <c r="C15" s="5" t="s">
        <v>354</v>
      </c>
      <c r="D15" s="5">
        <f t="shared" si="6"/>
        <v>0</v>
      </c>
      <c r="E15" s="5">
        <v>0</v>
      </c>
      <c r="F15" s="5">
        <f t="shared" si="0"/>
        <v>0</v>
      </c>
      <c r="G15" s="5">
        <v>0</v>
      </c>
      <c r="H15" s="5">
        <f t="shared" si="1"/>
        <v>0</v>
      </c>
      <c r="I15" s="5">
        <v>0</v>
      </c>
      <c r="J15" s="5">
        <f t="shared" si="2"/>
        <v>20000</v>
      </c>
      <c r="K15" s="5">
        <v>1</v>
      </c>
      <c r="L15" s="5">
        <f t="shared" si="3"/>
        <v>30000</v>
      </c>
      <c r="M15" s="5">
        <v>1</v>
      </c>
      <c r="N15" s="6">
        <f t="shared" si="4"/>
        <v>150000</v>
      </c>
    </row>
    <row r="16" spans="1:14" x14ac:dyDescent="0.45">
      <c r="A16" s="10">
        <f t="shared" si="5"/>
        <v>15</v>
      </c>
      <c r="B16" s="5" t="s">
        <v>82</v>
      </c>
      <c r="C16" s="5" t="s">
        <v>354</v>
      </c>
      <c r="D16" s="5">
        <f t="shared" si="6"/>
        <v>0</v>
      </c>
      <c r="E16" s="5">
        <v>0</v>
      </c>
      <c r="F16" s="5">
        <f t="shared" si="0"/>
        <v>0</v>
      </c>
      <c r="G16" s="5">
        <v>0</v>
      </c>
      <c r="H16" s="5">
        <f t="shared" si="1"/>
        <v>20000</v>
      </c>
      <c r="I16" s="5">
        <v>1</v>
      </c>
      <c r="J16" s="5">
        <f t="shared" si="2"/>
        <v>40000</v>
      </c>
      <c r="K16" s="5">
        <v>2</v>
      </c>
      <c r="L16" s="5">
        <f t="shared" si="3"/>
        <v>30000</v>
      </c>
      <c r="M16" s="5">
        <v>1</v>
      </c>
      <c r="N16" s="6">
        <f t="shared" si="4"/>
        <v>110000</v>
      </c>
    </row>
    <row r="17" spans="1:14" x14ac:dyDescent="0.45">
      <c r="A17" s="10">
        <f t="shared" si="5"/>
        <v>16</v>
      </c>
      <c r="B17" s="5" t="s">
        <v>83</v>
      </c>
      <c r="C17" s="5" t="s">
        <v>354</v>
      </c>
      <c r="D17" s="5">
        <f t="shared" si="6"/>
        <v>0</v>
      </c>
      <c r="E17" s="5">
        <v>0</v>
      </c>
      <c r="F17" s="5">
        <f t="shared" si="0"/>
        <v>0</v>
      </c>
      <c r="G17" s="5">
        <v>0</v>
      </c>
      <c r="H17" s="5">
        <f t="shared" si="1"/>
        <v>40000</v>
      </c>
      <c r="I17" s="5">
        <v>2</v>
      </c>
      <c r="J17" s="5">
        <f t="shared" si="2"/>
        <v>20000</v>
      </c>
      <c r="K17" s="5">
        <v>1</v>
      </c>
      <c r="L17" s="5">
        <f t="shared" si="3"/>
        <v>30000</v>
      </c>
      <c r="M17" s="5">
        <v>1</v>
      </c>
      <c r="N17" s="6">
        <f t="shared" si="4"/>
        <v>110000</v>
      </c>
    </row>
    <row r="18" spans="1:14" x14ac:dyDescent="0.45">
      <c r="A18" s="10">
        <f t="shared" si="5"/>
        <v>17</v>
      </c>
      <c r="B18" s="5" t="s">
        <v>84</v>
      </c>
      <c r="C18" s="5" t="s">
        <v>354</v>
      </c>
      <c r="D18" s="5">
        <f t="shared" si="6"/>
        <v>0</v>
      </c>
      <c r="E18" s="5">
        <v>0</v>
      </c>
      <c r="F18" s="5">
        <f t="shared" si="0"/>
        <v>0</v>
      </c>
      <c r="G18" s="5">
        <v>0</v>
      </c>
      <c r="H18" s="5">
        <f t="shared" si="1"/>
        <v>0</v>
      </c>
      <c r="I18" s="5">
        <v>0</v>
      </c>
      <c r="J18" s="5">
        <f t="shared" si="2"/>
        <v>20000</v>
      </c>
      <c r="K18" s="5">
        <v>1</v>
      </c>
      <c r="L18" s="5">
        <f t="shared" si="3"/>
        <v>0</v>
      </c>
      <c r="M18" s="5">
        <v>0</v>
      </c>
      <c r="N18" s="6">
        <f t="shared" si="4"/>
        <v>180000</v>
      </c>
    </row>
    <row r="19" spans="1:14" x14ac:dyDescent="0.45">
      <c r="A19" s="10">
        <f t="shared" si="5"/>
        <v>18</v>
      </c>
      <c r="B19" s="5" t="s">
        <v>85</v>
      </c>
      <c r="C19" s="5" t="s">
        <v>354</v>
      </c>
      <c r="D19" s="5">
        <f t="shared" si="6"/>
        <v>0</v>
      </c>
      <c r="E19" s="5">
        <v>0</v>
      </c>
      <c r="F19" s="5">
        <f t="shared" si="0"/>
        <v>0</v>
      </c>
      <c r="G19" s="5">
        <v>0</v>
      </c>
      <c r="H19" s="5">
        <f t="shared" si="1"/>
        <v>0</v>
      </c>
      <c r="I19" s="5">
        <v>0</v>
      </c>
      <c r="J19" s="5">
        <f t="shared" si="2"/>
        <v>20000</v>
      </c>
      <c r="K19" s="5">
        <v>1</v>
      </c>
      <c r="L19" s="5">
        <f t="shared" si="3"/>
        <v>30000</v>
      </c>
      <c r="M19" s="5">
        <v>1</v>
      </c>
      <c r="N19" s="6">
        <f t="shared" si="4"/>
        <v>150000</v>
      </c>
    </row>
    <row r="20" spans="1:14" x14ac:dyDescent="0.45">
      <c r="A20" s="10">
        <f t="shared" si="5"/>
        <v>19</v>
      </c>
      <c r="B20" s="5" t="s">
        <v>86</v>
      </c>
      <c r="C20" s="5" t="s">
        <v>354</v>
      </c>
      <c r="D20" s="5">
        <f t="shared" si="6"/>
        <v>0</v>
      </c>
      <c r="E20" s="5">
        <v>0</v>
      </c>
      <c r="F20" s="5">
        <f t="shared" si="0"/>
        <v>0</v>
      </c>
      <c r="G20" s="5">
        <v>0</v>
      </c>
      <c r="H20" s="5">
        <f t="shared" si="1"/>
        <v>0</v>
      </c>
      <c r="I20" s="5">
        <v>0</v>
      </c>
      <c r="J20" s="5">
        <f t="shared" si="2"/>
        <v>0</v>
      </c>
      <c r="K20" s="5">
        <v>0</v>
      </c>
      <c r="L20" s="5">
        <f t="shared" si="3"/>
        <v>0</v>
      </c>
      <c r="M20" s="5">
        <v>0</v>
      </c>
      <c r="N20" s="6">
        <f t="shared" si="4"/>
        <v>200000</v>
      </c>
    </row>
    <row r="21" spans="1:14" x14ac:dyDescent="0.45">
      <c r="A21" s="10">
        <f t="shared" si="5"/>
        <v>20</v>
      </c>
      <c r="B21" s="5" t="s">
        <v>87</v>
      </c>
      <c r="C21" s="5" t="s">
        <v>354</v>
      </c>
      <c r="D21" s="5">
        <f t="shared" si="6"/>
        <v>0</v>
      </c>
      <c r="E21" s="5">
        <v>0</v>
      </c>
      <c r="F21" s="5">
        <f t="shared" si="0"/>
        <v>0</v>
      </c>
      <c r="G21" s="5">
        <v>0</v>
      </c>
      <c r="H21" s="5">
        <f t="shared" si="1"/>
        <v>0</v>
      </c>
      <c r="I21" s="5">
        <v>0</v>
      </c>
      <c r="J21" s="5">
        <f t="shared" si="2"/>
        <v>20000</v>
      </c>
      <c r="K21" s="5">
        <v>1</v>
      </c>
      <c r="L21" s="5">
        <f t="shared" si="3"/>
        <v>30000</v>
      </c>
      <c r="M21" s="5">
        <v>1</v>
      </c>
      <c r="N21" s="6">
        <f t="shared" si="4"/>
        <v>150000</v>
      </c>
    </row>
    <row r="22" spans="1:14" x14ac:dyDescent="0.45">
      <c r="A22" s="10">
        <f t="shared" si="5"/>
        <v>21</v>
      </c>
      <c r="B22" s="5" t="s">
        <v>88</v>
      </c>
      <c r="C22" s="5" t="s">
        <v>354</v>
      </c>
      <c r="D22" s="5">
        <f t="shared" si="6"/>
        <v>0</v>
      </c>
      <c r="E22" s="5">
        <v>0</v>
      </c>
      <c r="F22" s="5">
        <f t="shared" si="0"/>
        <v>0</v>
      </c>
      <c r="G22" s="5">
        <v>0</v>
      </c>
      <c r="H22" s="5">
        <f t="shared" si="1"/>
        <v>20000</v>
      </c>
      <c r="I22" s="5">
        <v>1</v>
      </c>
      <c r="J22" s="5">
        <f t="shared" si="2"/>
        <v>60000</v>
      </c>
      <c r="K22" s="5">
        <v>3</v>
      </c>
      <c r="L22" s="5">
        <f t="shared" si="3"/>
        <v>60000</v>
      </c>
      <c r="M22" s="5">
        <v>2</v>
      </c>
      <c r="N22" s="6">
        <f t="shared" si="4"/>
        <v>60000</v>
      </c>
    </row>
    <row r="23" spans="1:14" x14ac:dyDescent="0.45">
      <c r="A23" s="10">
        <f t="shared" si="5"/>
        <v>22</v>
      </c>
      <c r="B23" s="5" t="s">
        <v>89</v>
      </c>
      <c r="C23" s="5" t="s">
        <v>354</v>
      </c>
      <c r="D23" s="5">
        <f t="shared" si="6"/>
        <v>0</v>
      </c>
      <c r="E23" s="5">
        <v>0</v>
      </c>
      <c r="F23" s="5">
        <f t="shared" si="0"/>
        <v>0</v>
      </c>
      <c r="G23" s="5">
        <v>0</v>
      </c>
      <c r="H23" s="5">
        <f t="shared" si="1"/>
        <v>20000</v>
      </c>
      <c r="I23" s="5">
        <v>1</v>
      </c>
      <c r="J23" s="5">
        <f t="shared" si="2"/>
        <v>20000</v>
      </c>
      <c r="K23" s="5">
        <v>1</v>
      </c>
      <c r="L23" s="5">
        <f t="shared" si="3"/>
        <v>0</v>
      </c>
      <c r="M23" s="5">
        <v>0</v>
      </c>
      <c r="N23" s="6">
        <f t="shared" si="4"/>
        <v>160000</v>
      </c>
    </row>
    <row r="24" spans="1:14" x14ac:dyDescent="0.45">
      <c r="A24" s="10">
        <f t="shared" si="5"/>
        <v>23</v>
      </c>
      <c r="B24" s="5" t="s">
        <v>90</v>
      </c>
      <c r="C24" s="5" t="s">
        <v>354</v>
      </c>
      <c r="D24" s="5">
        <f t="shared" si="6"/>
        <v>0</v>
      </c>
      <c r="E24" s="5">
        <v>0</v>
      </c>
      <c r="F24" s="5">
        <f t="shared" si="0"/>
        <v>0</v>
      </c>
      <c r="G24" s="5">
        <v>0</v>
      </c>
      <c r="H24" s="5">
        <f t="shared" si="1"/>
        <v>0</v>
      </c>
      <c r="I24" s="5">
        <v>0</v>
      </c>
      <c r="J24" s="5">
        <f t="shared" si="2"/>
        <v>20000</v>
      </c>
      <c r="K24" s="5">
        <v>1</v>
      </c>
      <c r="L24" s="5">
        <f t="shared" si="3"/>
        <v>30000</v>
      </c>
      <c r="M24" s="5">
        <v>1</v>
      </c>
      <c r="N24" s="6">
        <f t="shared" si="4"/>
        <v>150000</v>
      </c>
    </row>
    <row r="25" spans="1:14" x14ac:dyDescent="0.45">
      <c r="A25" s="10">
        <f t="shared" si="5"/>
        <v>24</v>
      </c>
      <c r="B25" s="5" t="s">
        <v>91</v>
      </c>
      <c r="C25" s="5" t="s">
        <v>354</v>
      </c>
      <c r="D25" s="5">
        <f t="shared" si="6"/>
        <v>0</v>
      </c>
      <c r="E25" s="5">
        <v>0</v>
      </c>
      <c r="F25" s="5">
        <f t="shared" si="0"/>
        <v>0</v>
      </c>
      <c r="G25" s="5">
        <v>0</v>
      </c>
      <c r="H25" s="5">
        <f t="shared" si="1"/>
        <v>0</v>
      </c>
      <c r="I25" s="5">
        <v>0</v>
      </c>
      <c r="J25" s="5">
        <f t="shared" si="2"/>
        <v>60000</v>
      </c>
      <c r="K25" s="5">
        <v>3</v>
      </c>
      <c r="L25" s="5">
        <f t="shared" si="3"/>
        <v>60000</v>
      </c>
      <c r="M25" s="5">
        <v>2</v>
      </c>
      <c r="N25" s="6">
        <f t="shared" si="4"/>
        <v>80000</v>
      </c>
    </row>
    <row r="26" spans="1:14" x14ac:dyDescent="0.45">
      <c r="A26" s="10">
        <f t="shared" si="5"/>
        <v>25</v>
      </c>
      <c r="B26" s="5" t="s">
        <v>92</v>
      </c>
      <c r="C26" s="5" t="s">
        <v>354</v>
      </c>
      <c r="D26" s="5">
        <f t="shared" si="6"/>
        <v>0</v>
      </c>
      <c r="E26" s="5">
        <v>0</v>
      </c>
      <c r="F26" s="5">
        <f t="shared" si="0"/>
        <v>0</v>
      </c>
      <c r="G26" s="5">
        <v>0</v>
      </c>
      <c r="H26" s="5">
        <f t="shared" si="1"/>
        <v>0</v>
      </c>
      <c r="I26" s="5">
        <v>0</v>
      </c>
      <c r="J26" s="5">
        <f t="shared" si="2"/>
        <v>20000</v>
      </c>
      <c r="K26" s="5">
        <v>1</v>
      </c>
      <c r="L26" s="5">
        <f t="shared" si="3"/>
        <v>30000</v>
      </c>
      <c r="M26" s="5">
        <v>1</v>
      </c>
      <c r="N26" s="6">
        <f t="shared" si="4"/>
        <v>150000</v>
      </c>
    </row>
    <row r="27" spans="1:14" x14ac:dyDescent="0.45">
      <c r="A27" s="10">
        <f t="shared" si="5"/>
        <v>26</v>
      </c>
      <c r="B27" s="5" t="s">
        <v>93</v>
      </c>
      <c r="C27" s="5" t="s">
        <v>354</v>
      </c>
      <c r="D27" s="5">
        <f t="shared" si="6"/>
        <v>0</v>
      </c>
      <c r="E27" s="5">
        <v>0</v>
      </c>
      <c r="F27" s="5">
        <f t="shared" si="0"/>
        <v>0</v>
      </c>
      <c r="G27" s="5">
        <v>0</v>
      </c>
      <c r="H27" s="5">
        <f t="shared" si="1"/>
        <v>20000</v>
      </c>
      <c r="I27" s="5">
        <v>1</v>
      </c>
      <c r="J27" s="5">
        <f t="shared" si="2"/>
        <v>20000</v>
      </c>
      <c r="K27" s="5">
        <v>1</v>
      </c>
      <c r="L27" s="5">
        <f t="shared" si="3"/>
        <v>0</v>
      </c>
      <c r="M27" s="5">
        <v>0</v>
      </c>
      <c r="N27" s="6">
        <f t="shared" si="4"/>
        <v>160000</v>
      </c>
    </row>
    <row r="28" spans="1:14" x14ac:dyDescent="0.45">
      <c r="A28" s="10">
        <f t="shared" si="5"/>
        <v>27</v>
      </c>
      <c r="B28" s="5" t="s">
        <v>94</v>
      </c>
      <c r="C28" s="5" t="s">
        <v>354</v>
      </c>
      <c r="D28" s="5">
        <f t="shared" si="6"/>
        <v>0</v>
      </c>
      <c r="E28" s="5">
        <v>0</v>
      </c>
      <c r="F28" s="5">
        <f t="shared" si="0"/>
        <v>0</v>
      </c>
      <c r="G28" s="5">
        <v>0</v>
      </c>
      <c r="H28" s="5">
        <f t="shared" si="1"/>
        <v>20000</v>
      </c>
      <c r="I28" s="5">
        <v>1</v>
      </c>
      <c r="J28" s="5">
        <f t="shared" si="2"/>
        <v>20000</v>
      </c>
      <c r="K28" s="5">
        <v>1</v>
      </c>
      <c r="L28" s="5">
        <f t="shared" si="3"/>
        <v>30000</v>
      </c>
      <c r="M28" s="5">
        <v>1</v>
      </c>
      <c r="N28" s="6">
        <f t="shared" si="4"/>
        <v>130000</v>
      </c>
    </row>
    <row r="29" spans="1:14" x14ac:dyDescent="0.45">
      <c r="A29" s="10">
        <f t="shared" si="5"/>
        <v>28</v>
      </c>
      <c r="B29" s="5" t="s">
        <v>95</v>
      </c>
      <c r="C29" s="5" t="s">
        <v>354</v>
      </c>
      <c r="D29" s="5">
        <f t="shared" si="6"/>
        <v>0</v>
      </c>
      <c r="E29" s="5">
        <v>0</v>
      </c>
      <c r="F29" s="5">
        <f t="shared" si="0"/>
        <v>100000</v>
      </c>
      <c r="G29" s="5">
        <v>1</v>
      </c>
      <c r="H29" s="5">
        <f t="shared" si="1"/>
        <v>60000</v>
      </c>
      <c r="I29" s="5">
        <v>3</v>
      </c>
      <c r="J29" s="5">
        <f t="shared" si="2"/>
        <v>60000</v>
      </c>
      <c r="K29" s="5">
        <v>3</v>
      </c>
      <c r="L29" s="5">
        <f t="shared" si="3"/>
        <v>30000</v>
      </c>
      <c r="M29" s="5">
        <v>1</v>
      </c>
      <c r="N29" s="6">
        <f t="shared" si="4"/>
        <v>-50000</v>
      </c>
    </row>
    <row r="30" spans="1:14" x14ac:dyDescent="0.45">
      <c r="A30" s="10">
        <f t="shared" si="5"/>
        <v>29</v>
      </c>
      <c r="B30" s="5" t="s">
        <v>96</v>
      </c>
      <c r="C30" s="5" t="s">
        <v>354</v>
      </c>
      <c r="D30" s="5">
        <f t="shared" si="6"/>
        <v>0</v>
      </c>
      <c r="E30" s="5">
        <v>0</v>
      </c>
      <c r="F30" s="5">
        <f t="shared" si="0"/>
        <v>0</v>
      </c>
      <c r="G30" s="5">
        <v>0</v>
      </c>
      <c r="H30" s="5">
        <f t="shared" si="1"/>
        <v>80000</v>
      </c>
      <c r="I30" s="5">
        <v>4</v>
      </c>
      <c r="J30" s="5">
        <f t="shared" si="2"/>
        <v>20000</v>
      </c>
      <c r="K30" s="5">
        <v>1</v>
      </c>
      <c r="L30" s="5">
        <f t="shared" si="3"/>
        <v>30000</v>
      </c>
      <c r="M30" s="5">
        <v>1</v>
      </c>
      <c r="N30" s="6">
        <f t="shared" si="4"/>
        <v>70000</v>
      </c>
    </row>
    <row r="31" spans="1:14" x14ac:dyDescent="0.45">
      <c r="A31" s="10">
        <f t="shared" si="5"/>
        <v>30</v>
      </c>
      <c r="B31" s="5" t="s">
        <v>97</v>
      </c>
      <c r="C31" s="5" t="s">
        <v>354</v>
      </c>
      <c r="D31" s="5">
        <f t="shared" si="6"/>
        <v>0</v>
      </c>
      <c r="E31" s="5">
        <v>0</v>
      </c>
      <c r="F31" s="5">
        <f t="shared" si="0"/>
        <v>0</v>
      </c>
      <c r="G31" s="5">
        <v>0</v>
      </c>
      <c r="H31" s="5">
        <f t="shared" si="1"/>
        <v>0</v>
      </c>
      <c r="I31" s="5">
        <v>0</v>
      </c>
      <c r="J31" s="5">
        <f t="shared" si="2"/>
        <v>40000</v>
      </c>
      <c r="K31" s="5">
        <v>2</v>
      </c>
      <c r="L31" s="5">
        <f t="shared" si="3"/>
        <v>30000</v>
      </c>
      <c r="M31" s="5">
        <v>1</v>
      </c>
      <c r="N31" s="6">
        <f t="shared" si="4"/>
        <v>130000</v>
      </c>
    </row>
    <row r="32" spans="1:14" x14ac:dyDescent="0.45">
      <c r="A32" s="10">
        <f t="shared" si="5"/>
        <v>31</v>
      </c>
      <c r="B32" s="5" t="s">
        <v>98</v>
      </c>
      <c r="C32" s="5" t="s">
        <v>354</v>
      </c>
      <c r="D32" s="5">
        <f t="shared" si="6"/>
        <v>0</v>
      </c>
      <c r="E32" s="5">
        <v>0</v>
      </c>
      <c r="F32" s="5">
        <f t="shared" si="0"/>
        <v>0</v>
      </c>
      <c r="G32" s="5">
        <v>0</v>
      </c>
      <c r="H32" s="5">
        <f t="shared" si="1"/>
        <v>60000</v>
      </c>
      <c r="I32" s="5">
        <v>3</v>
      </c>
      <c r="J32" s="5">
        <f t="shared" si="2"/>
        <v>60000</v>
      </c>
      <c r="K32" s="5">
        <v>3</v>
      </c>
      <c r="L32" s="5">
        <f t="shared" si="3"/>
        <v>30000</v>
      </c>
      <c r="M32" s="5">
        <v>1</v>
      </c>
      <c r="N32" s="6">
        <f t="shared" si="4"/>
        <v>50000</v>
      </c>
    </row>
    <row r="33" spans="1:14" x14ac:dyDescent="0.45">
      <c r="A33" s="10">
        <f t="shared" si="5"/>
        <v>32</v>
      </c>
      <c r="B33" s="5" t="s">
        <v>99</v>
      </c>
      <c r="C33" s="5" t="s">
        <v>354</v>
      </c>
      <c r="D33" s="5">
        <f t="shared" si="6"/>
        <v>0</v>
      </c>
      <c r="E33" s="5">
        <v>0</v>
      </c>
      <c r="F33" s="5">
        <f t="shared" si="0"/>
        <v>0</v>
      </c>
      <c r="G33" s="5">
        <v>0</v>
      </c>
      <c r="H33" s="5">
        <f t="shared" si="1"/>
        <v>40000</v>
      </c>
      <c r="I33" s="5">
        <v>2</v>
      </c>
      <c r="J33" s="5">
        <f t="shared" si="2"/>
        <v>60000</v>
      </c>
      <c r="K33" s="5">
        <v>3</v>
      </c>
      <c r="L33" s="5">
        <f t="shared" si="3"/>
        <v>60000</v>
      </c>
      <c r="M33" s="5">
        <v>2</v>
      </c>
      <c r="N33" s="6">
        <f t="shared" si="4"/>
        <v>40000</v>
      </c>
    </row>
    <row r="34" spans="1:14" x14ac:dyDescent="0.45">
      <c r="A34" s="10">
        <f t="shared" si="5"/>
        <v>33</v>
      </c>
      <c r="B34" s="5" t="s">
        <v>100</v>
      </c>
      <c r="C34" s="5" t="s">
        <v>354</v>
      </c>
      <c r="D34" s="5">
        <f t="shared" si="6"/>
        <v>0</v>
      </c>
      <c r="E34" s="5">
        <v>0</v>
      </c>
      <c r="F34" s="5">
        <f t="shared" ref="F34:F65" si="7">G34*100000</f>
        <v>0</v>
      </c>
      <c r="G34" s="5">
        <v>0</v>
      </c>
      <c r="H34" s="5">
        <f t="shared" ref="H34:H65" si="8">I34*20000</f>
        <v>40000</v>
      </c>
      <c r="I34" s="5">
        <v>2</v>
      </c>
      <c r="J34" s="5">
        <f t="shared" si="2"/>
        <v>40000</v>
      </c>
      <c r="K34" s="5">
        <v>2</v>
      </c>
      <c r="L34" s="5">
        <f t="shared" ref="L34:L65" si="9">M34*30000</f>
        <v>30000</v>
      </c>
      <c r="M34" s="5">
        <v>1</v>
      </c>
      <c r="N34" s="6">
        <f t="shared" ref="N34:N65" si="10">200000-L34-J34-H34-F34-D34</f>
        <v>90000</v>
      </c>
    </row>
    <row r="35" spans="1:14" x14ac:dyDescent="0.45">
      <c r="A35" s="10">
        <f t="shared" si="5"/>
        <v>34</v>
      </c>
      <c r="B35" s="5" t="s">
        <v>101</v>
      </c>
      <c r="C35" s="5" t="s">
        <v>354</v>
      </c>
      <c r="D35" s="5">
        <f t="shared" si="6"/>
        <v>0</v>
      </c>
      <c r="E35" s="5">
        <v>0</v>
      </c>
      <c r="F35" s="5">
        <f t="shared" si="7"/>
        <v>0</v>
      </c>
      <c r="G35" s="5">
        <v>0</v>
      </c>
      <c r="H35" s="5">
        <f t="shared" si="8"/>
        <v>0</v>
      </c>
      <c r="I35" s="5">
        <v>0</v>
      </c>
      <c r="J35" s="5">
        <f t="shared" si="2"/>
        <v>60000</v>
      </c>
      <c r="K35" s="5">
        <v>3</v>
      </c>
      <c r="L35" s="5">
        <f t="shared" si="9"/>
        <v>30000</v>
      </c>
      <c r="M35" s="5">
        <v>1</v>
      </c>
      <c r="N35" s="6">
        <f t="shared" si="10"/>
        <v>110000</v>
      </c>
    </row>
    <row r="36" spans="1:14" x14ac:dyDescent="0.45">
      <c r="A36" s="10">
        <f t="shared" si="5"/>
        <v>35</v>
      </c>
      <c r="B36" s="5" t="s">
        <v>102</v>
      </c>
      <c r="C36" s="5" t="s">
        <v>354</v>
      </c>
      <c r="D36" s="5">
        <f t="shared" si="6"/>
        <v>0</v>
      </c>
      <c r="E36" s="5">
        <v>0</v>
      </c>
      <c r="F36" s="5">
        <f t="shared" si="7"/>
        <v>0</v>
      </c>
      <c r="G36" s="5">
        <v>0</v>
      </c>
      <c r="H36" s="5">
        <f t="shared" si="8"/>
        <v>0</v>
      </c>
      <c r="I36" s="5">
        <v>0</v>
      </c>
      <c r="J36" s="5">
        <f t="shared" si="2"/>
        <v>20000</v>
      </c>
      <c r="K36" s="5">
        <v>1</v>
      </c>
      <c r="L36" s="5">
        <f t="shared" si="9"/>
        <v>0</v>
      </c>
      <c r="M36" s="5">
        <v>0</v>
      </c>
      <c r="N36" s="6">
        <f t="shared" si="10"/>
        <v>180000</v>
      </c>
    </row>
    <row r="37" spans="1:14" x14ac:dyDescent="0.45">
      <c r="A37" s="10">
        <f t="shared" si="5"/>
        <v>36</v>
      </c>
      <c r="B37" s="5" t="s">
        <v>103</v>
      </c>
      <c r="C37" s="5" t="s">
        <v>354</v>
      </c>
      <c r="D37" s="5">
        <f t="shared" si="6"/>
        <v>0</v>
      </c>
      <c r="E37" s="5">
        <v>0</v>
      </c>
      <c r="F37" s="5">
        <f t="shared" si="7"/>
        <v>0</v>
      </c>
      <c r="G37" s="5">
        <v>0</v>
      </c>
      <c r="H37" s="5">
        <f t="shared" si="8"/>
        <v>20000</v>
      </c>
      <c r="I37" s="5">
        <v>1</v>
      </c>
      <c r="J37" s="5">
        <f t="shared" si="2"/>
        <v>20000</v>
      </c>
      <c r="K37" s="5">
        <v>1</v>
      </c>
      <c r="L37" s="5">
        <f t="shared" si="9"/>
        <v>30000</v>
      </c>
      <c r="M37" s="5">
        <v>1</v>
      </c>
      <c r="N37" s="6">
        <f t="shared" si="10"/>
        <v>130000</v>
      </c>
    </row>
    <row r="38" spans="1:14" x14ac:dyDescent="0.45">
      <c r="A38" s="10">
        <f t="shared" si="5"/>
        <v>37</v>
      </c>
      <c r="B38" s="5" t="s">
        <v>104</v>
      </c>
      <c r="C38" s="5" t="s">
        <v>354</v>
      </c>
      <c r="D38" s="5">
        <f t="shared" si="6"/>
        <v>0</v>
      </c>
      <c r="E38" s="5">
        <v>0</v>
      </c>
      <c r="F38" s="5">
        <f t="shared" si="7"/>
        <v>0</v>
      </c>
      <c r="G38" s="5">
        <v>0</v>
      </c>
      <c r="H38" s="5">
        <f t="shared" si="8"/>
        <v>0</v>
      </c>
      <c r="I38" s="5">
        <v>0</v>
      </c>
      <c r="J38" s="5">
        <f t="shared" si="2"/>
        <v>40000</v>
      </c>
      <c r="K38" s="5">
        <v>2</v>
      </c>
      <c r="L38" s="5">
        <f t="shared" si="9"/>
        <v>60000</v>
      </c>
      <c r="M38" s="5">
        <v>2</v>
      </c>
      <c r="N38" s="6">
        <f t="shared" si="10"/>
        <v>100000</v>
      </c>
    </row>
    <row r="39" spans="1:14" x14ac:dyDescent="0.45">
      <c r="A39" s="10">
        <f t="shared" si="5"/>
        <v>38</v>
      </c>
      <c r="B39" s="5" t="s">
        <v>105</v>
      </c>
      <c r="C39" s="5" t="s">
        <v>354</v>
      </c>
      <c r="D39" s="5">
        <f t="shared" si="6"/>
        <v>0</v>
      </c>
      <c r="E39" s="5">
        <v>0</v>
      </c>
      <c r="F39" s="5">
        <f t="shared" si="7"/>
        <v>200000</v>
      </c>
      <c r="G39" s="5">
        <v>2</v>
      </c>
      <c r="H39" s="5">
        <f t="shared" si="8"/>
        <v>40000</v>
      </c>
      <c r="I39" s="5">
        <v>2</v>
      </c>
      <c r="J39" s="5">
        <f t="shared" si="2"/>
        <v>20000</v>
      </c>
      <c r="K39" s="5">
        <v>1</v>
      </c>
      <c r="L39" s="5">
        <f t="shared" si="9"/>
        <v>0</v>
      </c>
      <c r="M39" s="5">
        <v>0</v>
      </c>
      <c r="N39" s="6">
        <f t="shared" si="10"/>
        <v>-60000</v>
      </c>
    </row>
    <row r="40" spans="1:14" x14ac:dyDescent="0.45">
      <c r="A40" s="10">
        <f t="shared" si="5"/>
        <v>39</v>
      </c>
      <c r="B40" s="5" t="s">
        <v>106</v>
      </c>
      <c r="C40" s="5" t="s">
        <v>354</v>
      </c>
      <c r="D40" s="5">
        <f t="shared" si="6"/>
        <v>0</v>
      </c>
      <c r="E40" s="5">
        <v>0</v>
      </c>
      <c r="F40" s="5">
        <f t="shared" si="7"/>
        <v>0</v>
      </c>
      <c r="G40" s="5">
        <v>0</v>
      </c>
      <c r="H40" s="5">
        <f t="shared" si="8"/>
        <v>0</v>
      </c>
      <c r="I40" s="5">
        <v>0</v>
      </c>
      <c r="J40" s="5">
        <f t="shared" si="2"/>
        <v>40000</v>
      </c>
      <c r="K40" s="5">
        <v>2</v>
      </c>
      <c r="L40" s="5">
        <f t="shared" si="9"/>
        <v>30000</v>
      </c>
      <c r="M40" s="5">
        <v>1</v>
      </c>
      <c r="N40" s="6">
        <f t="shared" si="10"/>
        <v>130000</v>
      </c>
    </row>
    <row r="41" spans="1:14" x14ac:dyDescent="0.45">
      <c r="A41" s="10">
        <f t="shared" si="5"/>
        <v>40</v>
      </c>
      <c r="B41" s="5" t="s">
        <v>107</v>
      </c>
      <c r="C41" s="5" t="s">
        <v>354</v>
      </c>
      <c r="D41" s="5">
        <f t="shared" si="6"/>
        <v>0</v>
      </c>
      <c r="E41" s="5">
        <v>0</v>
      </c>
      <c r="F41" s="5">
        <f t="shared" si="7"/>
        <v>0</v>
      </c>
      <c r="G41" s="5">
        <v>0</v>
      </c>
      <c r="H41" s="5">
        <f t="shared" si="8"/>
        <v>0</v>
      </c>
      <c r="I41" s="5">
        <v>0</v>
      </c>
      <c r="J41" s="5">
        <f t="shared" si="2"/>
        <v>40000</v>
      </c>
      <c r="K41" s="5">
        <v>2</v>
      </c>
      <c r="L41" s="5">
        <f t="shared" si="9"/>
        <v>30000</v>
      </c>
      <c r="M41" s="5">
        <v>1</v>
      </c>
      <c r="N41" s="6">
        <f t="shared" si="10"/>
        <v>130000</v>
      </c>
    </row>
    <row r="42" spans="1:14" x14ac:dyDescent="0.45">
      <c r="A42" s="10">
        <f t="shared" si="5"/>
        <v>41</v>
      </c>
      <c r="B42" s="5" t="s">
        <v>108</v>
      </c>
      <c r="C42" s="5" t="s">
        <v>354</v>
      </c>
      <c r="D42" s="5">
        <f t="shared" si="6"/>
        <v>5000</v>
      </c>
      <c r="E42" s="5">
        <v>1</v>
      </c>
      <c r="F42" s="5">
        <f t="shared" si="7"/>
        <v>100000</v>
      </c>
      <c r="G42" s="5">
        <v>1</v>
      </c>
      <c r="H42" s="5">
        <f t="shared" si="8"/>
        <v>20000</v>
      </c>
      <c r="I42" s="5">
        <v>1</v>
      </c>
      <c r="J42" s="5">
        <f t="shared" si="2"/>
        <v>60000</v>
      </c>
      <c r="K42" s="5">
        <v>3</v>
      </c>
      <c r="L42" s="5">
        <f t="shared" si="9"/>
        <v>60000</v>
      </c>
      <c r="M42" s="5">
        <v>2</v>
      </c>
      <c r="N42" s="6">
        <f t="shared" si="10"/>
        <v>-45000</v>
      </c>
    </row>
    <row r="43" spans="1:14" x14ac:dyDescent="0.45">
      <c r="A43" s="10">
        <f t="shared" si="5"/>
        <v>42</v>
      </c>
      <c r="B43" s="5" t="s">
        <v>109</v>
      </c>
      <c r="C43" s="5" t="s">
        <v>354</v>
      </c>
      <c r="D43" s="5">
        <f t="shared" si="6"/>
        <v>0</v>
      </c>
      <c r="E43" s="5">
        <v>0</v>
      </c>
      <c r="F43" s="5">
        <f t="shared" si="7"/>
        <v>100000</v>
      </c>
      <c r="G43" s="5">
        <v>1</v>
      </c>
      <c r="H43" s="5">
        <f t="shared" si="8"/>
        <v>0</v>
      </c>
      <c r="I43" s="5">
        <v>0</v>
      </c>
      <c r="J43" s="5">
        <f t="shared" si="2"/>
        <v>360000</v>
      </c>
      <c r="K43" s="5">
        <v>18</v>
      </c>
      <c r="L43" s="5">
        <f t="shared" si="9"/>
        <v>330000</v>
      </c>
      <c r="M43" s="5">
        <v>11</v>
      </c>
      <c r="N43" s="6">
        <f t="shared" si="10"/>
        <v>-590000</v>
      </c>
    </row>
    <row r="44" spans="1:14" x14ac:dyDescent="0.45">
      <c r="A44" s="10">
        <f t="shared" si="5"/>
        <v>43</v>
      </c>
      <c r="B44" s="5" t="s">
        <v>110</v>
      </c>
      <c r="C44" s="5" t="s">
        <v>354</v>
      </c>
      <c r="D44" s="5">
        <f t="shared" si="6"/>
        <v>10000</v>
      </c>
      <c r="E44" s="5">
        <v>2</v>
      </c>
      <c r="F44" s="5">
        <f t="shared" si="7"/>
        <v>0</v>
      </c>
      <c r="G44" s="5">
        <v>0</v>
      </c>
      <c r="H44" s="5">
        <f t="shared" si="8"/>
        <v>0</v>
      </c>
      <c r="I44" s="5">
        <v>0</v>
      </c>
      <c r="J44" s="5">
        <f t="shared" si="2"/>
        <v>60000</v>
      </c>
      <c r="K44" s="5">
        <v>3</v>
      </c>
      <c r="L44" s="5">
        <f t="shared" si="9"/>
        <v>60000</v>
      </c>
      <c r="M44" s="5">
        <v>2</v>
      </c>
      <c r="N44" s="6">
        <f t="shared" si="10"/>
        <v>70000</v>
      </c>
    </row>
    <row r="45" spans="1:14" x14ac:dyDescent="0.45">
      <c r="A45" s="10">
        <f t="shared" si="5"/>
        <v>44</v>
      </c>
      <c r="B45" s="5" t="s">
        <v>111</v>
      </c>
      <c r="C45" s="5" t="s">
        <v>354</v>
      </c>
      <c r="D45" s="5">
        <f t="shared" si="6"/>
        <v>5000</v>
      </c>
      <c r="E45" s="5">
        <v>1</v>
      </c>
      <c r="F45" s="5">
        <f t="shared" si="7"/>
        <v>0</v>
      </c>
      <c r="G45" s="5">
        <v>0</v>
      </c>
      <c r="H45" s="5">
        <f t="shared" si="8"/>
        <v>20000</v>
      </c>
      <c r="I45" s="5">
        <v>1</v>
      </c>
      <c r="J45" s="5">
        <f t="shared" si="2"/>
        <v>0</v>
      </c>
      <c r="K45" s="5">
        <v>0</v>
      </c>
      <c r="L45" s="5">
        <f t="shared" si="9"/>
        <v>0</v>
      </c>
      <c r="M45" s="5">
        <v>0</v>
      </c>
      <c r="N45" s="6">
        <f t="shared" si="10"/>
        <v>175000</v>
      </c>
    </row>
    <row r="46" spans="1:14" x14ac:dyDescent="0.45">
      <c r="A46" s="10">
        <f t="shared" si="5"/>
        <v>45</v>
      </c>
      <c r="B46" s="5" t="s">
        <v>112</v>
      </c>
      <c r="C46" s="5" t="s">
        <v>354</v>
      </c>
      <c r="D46" s="5">
        <f t="shared" si="6"/>
        <v>0</v>
      </c>
      <c r="E46" s="5">
        <v>0</v>
      </c>
      <c r="F46" s="5">
        <f t="shared" si="7"/>
        <v>0</v>
      </c>
      <c r="G46" s="5">
        <v>0</v>
      </c>
      <c r="H46" s="5">
        <f t="shared" si="8"/>
        <v>20000</v>
      </c>
      <c r="I46" s="5">
        <v>1</v>
      </c>
      <c r="J46" s="5">
        <f t="shared" si="2"/>
        <v>20000</v>
      </c>
      <c r="K46" s="5">
        <v>1</v>
      </c>
      <c r="L46" s="5">
        <f t="shared" si="9"/>
        <v>0</v>
      </c>
      <c r="M46" s="5">
        <v>0</v>
      </c>
      <c r="N46" s="6">
        <f t="shared" si="10"/>
        <v>160000</v>
      </c>
    </row>
    <row r="47" spans="1:14" x14ac:dyDescent="0.45">
      <c r="A47" s="10">
        <f t="shared" si="5"/>
        <v>46</v>
      </c>
      <c r="B47" s="5" t="s">
        <v>113</v>
      </c>
      <c r="C47" s="5" t="s">
        <v>354</v>
      </c>
      <c r="D47" s="5">
        <f t="shared" si="6"/>
        <v>10000</v>
      </c>
      <c r="E47" s="5">
        <v>2</v>
      </c>
      <c r="F47" s="5">
        <f t="shared" si="7"/>
        <v>0</v>
      </c>
      <c r="G47" s="5">
        <v>0</v>
      </c>
      <c r="H47" s="5">
        <f t="shared" si="8"/>
        <v>40000</v>
      </c>
      <c r="I47" s="5">
        <v>2</v>
      </c>
      <c r="J47" s="5">
        <f t="shared" si="2"/>
        <v>40000</v>
      </c>
      <c r="K47" s="5">
        <v>2</v>
      </c>
      <c r="L47" s="5">
        <f t="shared" si="9"/>
        <v>90000</v>
      </c>
      <c r="M47" s="5">
        <v>3</v>
      </c>
      <c r="N47" s="6">
        <f t="shared" si="10"/>
        <v>20000</v>
      </c>
    </row>
    <row r="48" spans="1:14" x14ac:dyDescent="0.45">
      <c r="A48" s="10">
        <f t="shared" si="5"/>
        <v>47</v>
      </c>
      <c r="B48" s="5" t="s">
        <v>114</v>
      </c>
      <c r="C48" s="5" t="s">
        <v>354</v>
      </c>
      <c r="D48" s="5">
        <f t="shared" si="6"/>
        <v>0</v>
      </c>
      <c r="E48" s="5">
        <v>0</v>
      </c>
      <c r="F48" s="5">
        <f t="shared" si="7"/>
        <v>0</v>
      </c>
      <c r="G48" s="5">
        <v>0</v>
      </c>
      <c r="H48" s="5">
        <f t="shared" si="8"/>
        <v>0</v>
      </c>
      <c r="I48" s="5">
        <v>0</v>
      </c>
      <c r="J48" s="5">
        <f t="shared" si="2"/>
        <v>0</v>
      </c>
      <c r="K48" s="5">
        <v>0</v>
      </c>
      <c r="L48" s="5">
        <f t="shared" si="9"/>
        <v>0</v>
      </c>
      <c r="M48" s="5">
        <v>0</v>
      </c>
      <c r="N48" s="6">
        <f t="shared" si="10"/>
        <v>200000</v>
      </c>
    </row>
    <row r="49" spans="1:14" x14ac:dyDescent="0.45">
      <c r="A49" s="10">
        <f t="shared" si="5"/>
        <v>48</v>
      </c>
      <c r="B49" s="5" t="s">
        <v>115</v>
      </c>
      <c r="C49" s="5" t="s">
        <v>354</v>
      </c>
      <c r="D49" s="5">
        <f t="shared" si="6"/>
        <v>5000</v>
      </c>
      <c r="E49" s="5">
        <v>1</v>
      </c>
      <c r="F49" s="5">
        <f t="shared" si="7"/>
        <v>0</v>
      </c>
      <c r="G49" s="5">
        <v>0</v>
      </c>
      <c r="H49" s="5">
        <f t="shared" si="8"/>
        <v>0</v>
      </c>
      <c r="I49" s="5">
        <v>0</v>
      </c>
      <c r="J49" s="5">
        <f t="shared" si="2"/>
        <v>20000</v>
      </c>
      <c r="K49" s="5">
        <v>1</v>
      </c>
      <c r="L49" s="5">
        <f t="shared" si="9"/>
        <v>0</v>
      </c>
      <c r="M49" s="5">
        <v>0</v>
      </c>
      <c r="N49" s="6">
        <f t="shared" si="10"/>
        <v>175000</v>
      </c>
    </row>
    <row r="50" spans="1:14" x14ac:dyDescent="0.45">
      <c r="A50" s="10">
        <f t="shared" si="5"/>
        <v>49</v>
      </c>
      <c r="B50" s="5" t="s">
        <v>116</v>
      </c>
      <c r="C50" s="5" t="s">
        <v>354</v>
      </c>
      <c r="D50" s="5">
        <f t="shared" si="6"/>
        <v>0</v>
      </c>
      <c r="E50" s="5">
        <v>0</v>
      </c>
      <c r="F50" s="5">
        <f t="shared" si="7"/>
        <v>0</v>
      </c>
      <c r="G50" s="5">
        <v>0</v>
      </c>
      <c r="H50" s="5">
        <f t="shared" si="8"/>
        <v>0</v>
      </c>
      <c r="I50" s="5">
        <v>0</v>
      </c>
      <c r="J50" s="5">
        <f t="shared" si="2"/>
        <v>40000</v>
      </c>
      <c r="K50" s="5">
        <v>2</v>
      </c>
      <c r="L50" s="5">
        <f t="shared" si="9"/>
        <v>60000</v>
      </c>
      <c r="M50" s="5">
        <v>2</v>
      </c>
      <c r="N50" s="6">
        <f t="shared" si="10"/>
        <v>100000</v>
      </c>
    </row>
    <row r="51" spans="1:14" x14ac:dyDescent="0.45">
      <c r="A51" s="10">
        <f t="shared" si="5"/>
        <v>50</v>
      </c>
      <c r="B51" s="5" t="s">
        <v>117</v>
      </c>
      <c r="C51" s="5" t="s">
        <v>354</v>
      </c>
      <c r="D51" s="5">
        <f t="shared" si="6"/>
        <v>0</v>
      </c>
      <c r="E51" s="5">
        <v>0</v>
      </c>
      <c r="F51" s="5">
        <f t="shared" si="7"/>
        <v>100000</v>
      </c>
      <c r="G51" s="5">
        <v>1</v>
      </c>
      <c r="H51" s="5">
        <f t="shared" si="8"/>
        <v>0</v>
      </c>
      <c r="I51" s="5">
        <v>0</v>
      </c>
      <c r="J51" s="5">
        <f t="shared" si="2"/>
        <v>40000</v>
      </c>
      <c r="K51" s="5">
        <v>2</v>
      </c>
      <c r="L51" s="5">
        <f t="shared" si="9"/>
        <v>60000</v>
      </c>
      <c r="M51" s="5">
        <v>2</v>
      </c>
      <c r="N51" s="6">
        <f t="shared" si="10"/>
        <v>0</v>
      </c>
    </row>
    <row r="52" spans="1:14" x14ac:dyDescent="0.45">
      <c r="A52" s="10">
        <f t="shared" si="5"/>
        <v>51</v>
      </c>
      <c r="B52" s="5" t="s">
        <v>118</v>
      </c>
      <c r="C52" s="5" t="s">
        <v>354</v>
      </c>
      <c r="D52" s="5">
        <f t="shared" si="6"/>
        <v>0</v>
      </c>
      <c r="E52" s="5">
        <v>0</v>
      </c>
      <c r="F52" s="5">
        <f t="shared" si="7"/>
        <v>0</v>
      </c>
      <c r="G52" s="5">
        <v>0</v>
      </c>
      <c r="H52" s="5">
        <f t="shared" si="8"/>
        <v>0</v>
      </c>
      <c r="I52" s="5">
        <v>0</v>
      </c>
      <c r="J52" s="5">
        <f t="shared" si="2"/>
        <v>20000</v>
      </c>
      <c r="K52" s="5">
        <v>1</v>
      </c>
      <c r="L52" s="5">
        <f t="shared" si="9"/>
        <v>120000</v>
      </c>
      <c r="M52" s="5">
        <v>4</v>
      </c>
      <c r="N52" s="6">
        <f t="shared" si="10"/>
        <v>60000</v>
      </c>
    </row>
    <row r="53" spans="1:14" x14ac:dyDescent="0.45">
      <c r="A53" s="10">
        <f t="shared" si="5"/>
        <v>52</v>
      </c>
      <c r="B53" s="5" t="s">
        <v>119</v>
      </c>
      <c r="C53" s="5" t="s">
        <v>354</v>
      </c>
      <c r="D53" s="5">
        <f t="shared" si="6"/>
        <v>0</v>
      </c>
      <c r="E53" s="5">
        <v>0</v>
      </c>
      <c r="F53" s="5">
        <f t="shared" si="7"/>
        <v>0</v>
      </c>
      <c r="G53" s="5">
        <v>0</v>
      </c>
      <c r="H53" s="5">
        <f t="shared" si="8"/>
        <v>0</v>
      </c>
      <c r="I53" s="5">
        <v>0</v>
      </c>
      <c r="J53" s="5">
        <f t="shared" si="2"/>
        <v>0</v>
      </c>
      <c r="K53" s="5">
        <v>0</v>
      </c>
      <c r="L53" s="5">
        <f t="shared" si="9"/>
        <v>0</v>
      </c>
      <c r="M53" s="5">
        <v>0</v>
      </c>
      <c r="N53" s="6">
        <f t="shared" si="10"/>
        <v>200000</v>
      </c>
    </row>
    <row r="54" spans="1:14" x14ac:dyDescent="0.45">
      <c r="A54" s="10">
        <f t="shared" si="5"/>
        <v>53</v>
      </c>
      <c r="B54" s="5" t="s">
        <v>120</v>
      </c>
      <c r="C54" s="5" t="s">
        <v>354</v>
      </c>
      <c r="D54" s="5">
        <f t="shared" si="6"/>
        <v>5000</v>
      </c>
      <c r="E54" s="5">
        <v>1</v>
      </c>
      <c r="F54" s="5">
        <f t="shared" si="7"/>
        <v>0</v>
      </c>
      <c r="G54" s="5">
        <v>0</v>
      </c>
      <c r="H54" s="5">
        <f t="shared" si="8"/>
        <v>0</v>
      </c>
      <c r="I54" s="5">
        <v>0</v>
      </c>
      <c r="J54" s="5">
        <f t="shared" si="2"/>
        <v>200000</v>
      </c>
      <c r="K54" s="5">
        <v>10</v>
      </c>
      <c r="L54" s="5">
        <f t="shared" si="9"/>
        <v>120000</v>
      </c>
      <c r="M54" s="5">
        <v>4</v>
      </c>
      <c r="N54" s="6">
        <f t="shared" si="10"/>
        <v>-125000</v>
      </c>
    </row>
    <row r="55" spans="1:14" x14ac:dyDescent="0.45">
      <c r="A55" s="10">
        <f t="shared" si="5"/>
        <v>54</v>
      </c>
      <c r="B55" s="5" t="s">
        <v>121</v>
      </c>
      <c r="C55" s="5" t="s">
        <v>354</v>
      </c>
      <c r="D55" s="5">
        <f t="shared" si="6"/>
        <v>0</v>
      </c>
      <c r="E55" s="5">
        <v>0</v>
      </c>
      <c r="F55" s="5">
        <f t="shared" si="7"/>
        <v>0</v>
      </c>
      <c r="G55" s="5">
        <v>0</v>
      </c>
      <c r="H55" s="5">
        <f t="shared" si="8"/>
        <v>20000</v>
      </c>
      <c r="I55" s="5">
        <v>1</v>
      </c>
      <c r="J55" s="5">
        <f t="shared" si="2"/>
        <v>0</v>
      </c>
      <c r="K55" s="5">
        <v>0</v>
      </c>
      <c r="L55" s="5">
        <f t="shared" si="9"/>
        <v>0</v>
      </c>
      <c r="M55" s="5">
        <v>0</v>
      </c>
      <c r="N55" s="6">
        <f t="shared" si="10"/>
        <v>180000</v>
      </c>
    </row>
    <row r="56" spans="1:14" x14ac:dyDescent="0.45">
      <c r="A56" s="10">
        <f t="shared" si="5"/>
        <v>55</v>
      </c>
      <c r="B56" s="5" t="s">
        <v>122</v>
      </c>
      <c r="C56" s="5" t="s">
        <v>354</v>
      </c>
      <c r="D56" s="5">
        <f t="shared" si="6"/>
        <v>0</v>
      </c>
      <c r="E56" s="5">
        <v>0</v>
      </c>
      <c r="F56" s="5">
        <f t="shared" si="7"/>
        <v>0</v>
      </c>
      <c r="G56" s="5">
        <v>0</v>
      </c>
      <c r="H56" s="5">
        <f t="shared" si="8"/>
        <v>0</v>
      </c>
      <c r="I56" s="5">
        <v>0</v>
      </c>
      <c r="J56" s="5">
        <f t="shared" si="2"/>
        <v>100000</v>
      </c>
      <c r="K56" s="5">
        <v>5</v>
      </c>
      <c r="L56" s="5">
        <f t="shared" si="9"/>
        <v>0</v>
      </c>
      <c r="M56" s="5">
        <v>0</v>
      </c>
      <c r="N56" s="6">
        <f t="shared" si="10"/>
        <v>100000</v>
      </c>
    </row>
    <row r="57" spans="1:14" x14ac:dyDescent="0.45">
      <c r="A57" s="10">
        <f t="shared" si="5"/>
        <v>56</v>
      </c>
      <c r="B57" s="5" t="s">
        <v>123</v>
      </c>
      <c r="C57" s="5" t="s">
        <v>354</v>
      </c>
      <c r="D57" s="5">
        <f t="shared" si="6"/>
        <v>25000</v>
      </c>
      <c r="E57" s="5">
        <v>5</v>
      </c>
      <c r="F57" s="5">
        <f t="shared" si="7"/>
        <v>0</v>
      </c>
      <c r="G57" s="5">
        <v>0</v>
      </c>
      <c r="H57" s="5">
        <f t="shared" si="8"/>
        <v>20000</v>
      </c>
      <c r="I57" s="5">
        <v>1</v>
      </c>
      <c r="J57" s="5">
        <f t="shared" si="2"/>
        <v>320000</v>
      </c>
      <c r="K57" s="5">
        <v>16</v>
      </c>
      <c r="L57" s="5">
        <f t="shared" si="9"/>
        <v>120000</v>
      </c>
      <c r="M57" s="5">
        <v>4</v>
      </c>
      <c r="N57" s="6">
        <f t="shared" si="10"/>
        <v>-285000</v>
      </c>
    </row>
    <row r="58" spans="1:14" x14ac:dyDescent="0.45">
      <c r="A58" s="10">
        <f t="shared" si="5"/>
        <v>57</v>
      </c>
      <c r="B58" s="5" t="s">
        <v>124</v>
      </c>
      <c r="C58" s="5" t="s">
        <v>354</v>
      </c>
      <c r="D58" s="5">
        <f t="shared" si="6"/>
        <v>30000</v>
      </c>
      <c r="E58" s="5">
        <v>6</v>
      </c>
      <c r="F58" s="5">
        <f t="shared" si="7"/>
        <v>0</v>
      </c>
      <c r="G58" s="5">
        <v>0</v>
      </c>
      <c r="H58" s="5">
        <f t="shared" si="8"/>
        <v>0</v>
      </c>
      <c r="I58" s="5">
        <v>0</v>
      </c>
      <c r="J58" s="5">
        <f t="shared" si="2"/>
        <v>20000</v>
      </c>
      <c r="K58" s="5">
        <v>1</v>
      </c>
      <c r="L58" s="5">
        <f t="shared" si="9"/>
        <v>30000</v>
      </c>
      <c r="M58" s="5">
        <v>1</v>
      </c>
      <c r="N58" s="6">
        <f t="shared" si="10"/>
        <v>120000</v>
      </c>
    </row>
    <row r="59" spans="1:14" x14ac:dyDescent="0.45">
      <c r="A59" s="10">
        <f t="shared" si="5"/>
        <v>58</v>
      </c>
      <c r="B59" s="5" t="s">
        <v>125</v>
      </c>
      <c r="C59" s="5" t="s">
        <v>354</v>
      </c>
      <c r="D59" s="5">
        <f t="shared" si="6"/>
        <v>0</v>
      </c>
      <c r="E59" s="5">
        <v>0</v>
      </c>
      <c r="F59" s="5">
        <f t="shared" si="7"/>
        <v>0</v>
      </c>
      <c r="G59" s="5">
        <v>0</v>
      </c>
      <c r="H59" s="5">
        <f t="shared" si="8"/>
        <v>0</v>
      </c>
      <c r="I59" s="5">
        <v>0</v>
      </c>
      <c r="J59" s="5">
        <f t="shared" si="2"/>
        <v>260000</v>
      </c>
      <c r="K59" s="5">
        <v>13</v>
      </c>
      <c r="L59" s="5">
        <f t="shared" si="9"/>
        <v>0</v>
      </c>
      <c r="M59" s="5">
        <v>0</v>
      </c>
      <c r="N59" s="6">
        <f t="shared" si="10"/>
        <v>-60000</v>
      </c>
    </row>
    <row r="60" spans="1:14" x14ac:dyDescent="0.45">
      <c r="A60" s="10">
        <f t="shared" si="5"/>
        <v>59</v>
      </c>
      <c r="B60" s="5" t="s">
        <v>126</v>
      </c>
      <c r="C60" s="5" t="s">
        <v>354</v>
      </c>
      <c r="D60" s="5">
        <f t="shared" si="6"/>
        <v>40000</v>
      </c>
      <c r="E60" s="5">
        <v>8</v>
      </c>
      <c r="F60" s="5">
        <f t="shared" si="7"/>
        <v>100000</v>
      </c>
      <c r="G60" s="5">
        <v>1</v>
      </c>
      <c r="H60" s="5">
        <f t="shared" si="8"/>
        <v>0</v>
      </c>
      <c r="I60" s="5">
        <v>0</v>
      </c>
      <c r="J60" s="5">
        <f t="shared" si="2"/>
        <v>360000</v>
      </c>
      <c r="K60" s="5">
        <v>18</v>
      </c>
      <c r="L60" s="5">
        <f t="shared" si="9"/>
        <v>0</v>
      </c>
      <c r="M60" s="5">
        <v>0</v>
      </c>
      <c r="N60" s="6">
        <f t="shared" si="10"/>
        <v>-300000</v>
      </c>
    </row>
    <row r="61" spans="1:14" x14ac:dyDescent="0.45">
      <c r="A61" s="10">
        <f t="shared" si="5"/>
        <v>60</v>
      </c>
      <c r="B61" s="5" t="s">
        <v>127</v>
      </c>
      <c r="C61" s="5" t="s">
        <v>354</v>
      </c>
      <c r="D61" s="5">
        <f t="shared" si="6"/>
        <v>0</v>
      </c>
      <c r="E61" s="5">
        <v>0</v>
      </c>
      <c r="F61" s="5">
        <f t="shared" si="7"/>
        <v>0</v>
      </c>
      <c r="G61" s="5">
        <v>0</v>
      </c>
      <c r="H61" s="5">
        <f t="shared" si="8"/>
        <v>0</v>
      </c>
      <c r="I61" s="5">
        <v>0</v>
      </c>
      <c r="J61" s="5">
        <f t="shared" si="2"/>
        <v>0</v>
      </c>
      <c r="K61" s="5">
        <v>0</v>
      </c>
      <c r="L61" s="5">
        <f t="shared" si="9"/>
        <v>30000</v>
      </c>
      <c r="M61" s="5">
        <v>1</v>
      </c>
      <c r="N61" s="6">
        <f t="shared" si="10"/>
        <v>170000</v>
      </c>
    </row>
    <row r="62" spans="1:14" x14ac:dyDescent="0.45">
      <c r="A62" s="10">
        <f t="shared" si="5"/>
        <v>61</v>
      </c>
      <c r="B62" s="5" t="s">
        <v>128</v>
      </c>
      <c r="C62" s="5" t="s">
        <v>354</v>
      </c>
      <c r="D62" s="5">
        <f t="shared" si="6"/>
        <v>10000</v>
      </c>
      <c r="E62" s="5">
        <v>2</v>
      </c>
      <c r="F62" s="5">
        <f t="shared" si="7"/>
        <v>0</v>
      </c>
      <c r="G62" s="5">
        <v>0</v>
      </c>
      <c r="H62" s="5">
        <f t="shared" si="8"/>
        <v>0</v>
      </c>
      <c r="I62" s="5">
        <v>0</v>
      </c>
      <c r="J62" s="5">
        <f t="shared" si="2"/>
        <v>60000</v>
      </c>
      <c r="K62" s="5">
        <v>3</v>
      </c>
      <c r="L62" s="5">
        <f t="shared" si="9"/>
        <v>0</v>
      </c>
      <c r="M62" s="5">
        <v>0</v>
      </c>
      <c r="N62" s="6">
        <f t="shared" si="10"/>
        <v>130000</v>
      </c>
    </row>
    <row r="63" spans="1:14" x14ac:dyDescent="0.45">
      <c r="A63" s="10">
        <f t="shared" si="5"/>
        <v>62</v>
      </c>
      <c r="B63" s="5" t="s">
        <v>129</v>
      </c>
      <c r="C63" s="5" t="s">
        <v>354</v>
      </c>
      <c r="D63" s="5">
        <f t="shared" si="6"/>
        <v>0</v>
      </c>
      <c r="E63" s="5">
        <v>0</v>
      </c>
      <c r="F63" s="5">
        <f t="shared" si="7"/>
        <v>0</v>
      </c>
      <c r="G63" s="5">
        <v>0</v>
      </c>
      <c r="H63" s="5">
        <f t="shared" si="8"/>
        <v>0</v>
      </c>
      <c r="I63" s="5">
        <v>0</v>
      </c>
      <c r="J63" s="5">
        <f t="shared" si="2"/>
        <v>0</v>
      </c>
      <c r="K63" s="5">
        <v>0</v>
      </c>
      <c r="L63" s="5">
        <f t="shared" si="9"/>
        <v>30000</v>
      </c>
      <c r="M63" s="5">
        <v>1</v>
      </c>
      <c r="N63" s="6">
        <f t="shared" si="10"/>
        <v>170000</v>
      </c>
    </row>
    <row r="64" spans="1:14" x14ac:dyDescent="0.45">
      <c r="A64" s="10">
        <f t="shared" si="5"/>
        <v>63</v>
      </c>
      <c r="B64" s="5" t="s">
        <v>130</v>
      </c>
      <c r="C64" s="5" t="s">
        <v>354</v>
      </c>
      <c r="D64" s="5">
        <f t="shared" si="6"/>
        <v>0</v>
      </c>
      <c r="E64" s="5">
        <v>0</v>
      </c>
      <c r="F64" s="5">
        <f t="shared" si="7"/>
        <v>0</v>
      </c>
      <c r="G64" s="5">
        <v>0</v>
      </c>
      <c r="H64" s="5">
        <f t="shared" si="8"/>
        <v>0</v>
      </c>
      <c r="I64" s="5">
        <v>0</v>
      </c>
      <c r="J64" s="5">
        <f t="shared" si="2"/>
        <v>60000</v>
      </c>
      <c r="K64" s="5">
        <v>3</v>
      </c>
      <c r="L64" s="5">
        <f t="shared" si="9"/>
        <v>60000</v>
      </c>
      <c r="M64" s="5">
        <v>2</v>
      </c>
      <c r="N64" s="6">
        <f t="shared" si="10"/>
        <v>80000</v>
      </c>
    </row>
    <row r="65" spans="1:14" x14ac:dyDescent="0.45">
      <c r="A65" s="10">
        <f t="shared" si="5"/>
        <v>64</v>
      </c>
      <c r="B65" s="5" t="s">
        <v>131</v>
      </c>
      <c r="C65" s="5" t="s">
        <v>354</v>
      </c>
      <c r="D65" s="5">
        <f t="shared" si="6"/>
        <v>0</v>
      </c>
      <c r="E65" s="5">
        <v>0</v>
      </c>
      <c r="F65" s="5">
        <f t="shared" si="7"/>
        <v>0</v>
      </c>
      <c r="G65" s="5">
        <v>0</v>
      </c>
      <c r="H65" s="5">
        <f t="shared" si="8"/>
        <v>20000</v>
      </c>
      <c r="I65" s="5">
        <v>1</v>
      </c>
      <c r="J65" s="5">
        <f t="shared" si="2"/>
        <v>20000</v>
      </c>
      <c r="K65" s="5">
        <v>1</v>
      </c>
      <c r="L65" s="5">
        <f t="shared" si="9"/>
        <v>30000</v>
      </c>
      <c r="M65" s="5">
        <v>1</v>
      </c>
      <c r="N65" s="6">
        <f t="shared" si="10"/>
        <v>130000</v>
      </c>
    </row>
    <row r="66" spans="1:14" x14ac:dyDescent="0.45">
      <c r="A66" s="10">
        <f t="shared" si="5"/>
        <v>65</v>
      </c>
      <c r="B66" s="5" t="s">
        <v>132</v>
      </c>
      <c r="C66" s="5" t="s">
        <v>354</v>
      </c>
      <c r="D66" s="5">
        <f t="shared" si="6"/>
        <v>0</v>
      </c>
      <c r="E66" s="5">
        <v>0</v>
      </c>
      <c r="F66" s="5">
        <f t="shared" ref="F66:F97" si="11">G66*100000</f>
        <v>0</v>
      </c>
      <c r="G66" s="5">
        <v>0</v>
      </c>
      <c r="H66" s="5">
        <f t="shared" ref="H66:H97" si="12">I66*20000</f>
        <v>0</v>
      </c>
      <c r="I66" s="5">
        <v>0</v>
      </c>
      <c r="J66" s="5">
        <f t="shared" ref="J66:J101" si="13">K66*20000</f>
        <v>40000</v>
      </c>
      <c r="K66" s="5">
        <v>2</v>
      </c>
      <c r="L66" s="5">
        <f t="shared" ref="L66:L106" si="14">M66*30000</f>
        <v>0</v>
      </c>
      <c r="M66" s="5">
        <v>0</v>
      </c>
      <c r="N66" s="6">
        <f t="shared" ref="N66:N101" si="15">200000-L66-J66-H66-F66-D66</f>
        <v>160000</v>
      </c>
    </row>
    <row r="67" spans="1:14" x14ac:dyDescent="0.45">
      <c r="A67" s="10">
        <f t="shared" ref="A67:A101" si="16">ROW(A67)-1</f>
        <v>66</v>
      </c>
      <c r="B67" s="5" t="s">
        <v>133</v>
      </c>
      <c r="C67" s="5" t="s">
        <v>354</v>
      </c>
      <c r="D67" s="5">
        <f t="shared" ref="D67:D101" si="17">E67*5000</f>
        <v>0</v>
      </c>
      <c r="E67" s="5">
        <v>0</v>
      </c>
      <c r="F67" s="5">
        <f t="shared" si="11"/>
        <v>0</v>
      </c>
      <c r="G67" s="5">
        <v>0</v>
      </c>
      <c r="H67" s="5">
        <f t="shared" si="12"/>
        <v>0</v>
      </c>
      <c r="I67" s="5">
        <v>0</v>
      </c>
      <c r="J67" s="5">
        <f t="shared" si="13"/>
        <v>20000</v>
      </c>
      <c r="K67" s="5">
        <v>1</v>
      </c>
      <c r="L67" s="5">
        <f t="shared" si="14"/>
        <v>60000</v>
      </c>
      <c r="M67" s="5">
        <v>2</v>
      </c>
      <c r="N67" s="6">
        <f t="shared" si="15"/>
        <v>120000</v>
      </c>
    </row>
    <row r="68" spans="1:14" x14ac:dyDescent="0.45">
      <c r="A68" s="10">
        <f t="shared" si="16"/>
        <v>67</v>
      </c>
      <c r="B68" s="5" t="s">
        <v>134</v>
      </c>
      <c r="C68" s="5" t="s">
        <v>354</v>
      </c>
      <c r="D68" s="5">
        <f t="shared" si="17"/>
        <v>0</v>
      </c>
      <c r="E68" s="5">
        <v>0</v>
      </c>
      <c r="F68" s="5">
        <f t="shared" si="11"/>
        <v>0</v>
      </c>
      <c r="G68" s="5">
        <v>0</v>
      </c>
      <c r="H68" s="5">
        <f t="shared" si="12"/>
        <v>40000</v>
      </c>
      <c r="I68" s="5">
        <v>2</v>
      </c>
      <c r="J68" s="5">
        <f t="shared" si="13"/>
        <v>0</v>
      </c>
      <c r="K68" s="5">
        <v>0</v>
      </c>
      <c r="L68" s="5">
        <f t="shared" si="14"/>
        <v>0</v>
      </c>
      <c r="M68" s="5">
        <v>0</v>
      </c>
      <c r="N68" s="6">
        <f t="shared" si="15"/>
        <v>160000</v>
      </c>
    </row>
    <row r="69" spans="1:14" x14ac:dyDescent="0.45">
      <c r="A69" s="10">
        <f t="shared" si="16"/>
        <v>68</v>
      </c>
      <c r="B69" s="5" t="s">
        <v>135</v>
      </c>
      <c r="C69" s="5" t="s">
        <v>354</v>
      </c>
      <c r="D69" s="5">
        <f t="shared" si="17"/>
        <v>0</v>
      </c>
      <c r="E69" s="5">
        <v>0</v>
      </c>
      <c r="F69" s="5">
        <f t="shared" si="11"/>
        <v>0</v>
      </c>
      <c r="G69" s="5">
        <v>0</v>
      </c>
      <c r="H69" s="5">
        <f t="shared" si="12"/>
        <v>20000</v>
      </c>
      <c r="I69" s="5">
        <v>1</v>
      </c>
      <c r="J69" s="5">
        <f t="shared" si="13"/>
        <v>0</v>
      </c>
      <c r="K69" s="5">
        <v>0</v>
      </c>
      <c r="L69" s="5">
        <f t="shared" si="14"/>
        <v>0</v>
      </c>
      <c r="M69" s="5">
        <v>0</v>
      </c>
      <c r="N69" s="6">
        <f t="shared" si="15"/>
        <v>180000</v>
      </c>
    </row>
    <row r="70" spans="1:14" x14ac:dyDescent="0.45">
      <c r="A70" s="10">
        <f t="shared" si="16"/>
        <v>69</v>
      </c>
      <c r="B70" s="5" t="s">
        <v>136</v>
      </c>
      <c r="C70" s="5" t="s">
        <v>354</v>
      </c>
      <c r="D70" s="5">
        <f t="shared" si="17"/>
        <v>0</v>
      </c>
      <c r="E70" s="5">
        <v>0</v>
      </c>
      <c r="F70" s="5">
        <f t="shared" si="11"/>
        <v>0</v>
      </c>
      <c r="G70" s="5">
        <v>0</v>
      </c>
      <c r="H70" s="5">
        <f t="shared" si="12"/>
        <v>0</v>
      </c>
      <c r="I70" s="5">
        <v>0</v>
      </c>
      <c r="J70" s="5">
        <f t="shared" si="13"/>
        <v>0</v>
      </c>
      <c r="K70" s="5">
        <v>0</v>
      </c>
      <c r="L70" s="5">
        <f t="shared" si="14"/>
        <v>60000</v>
      </c>
      <c r="M70" s="5">
        <v>2</v>
      </c>
      <c r="N70" s="6">
        <f t="shared" si="15"/>
        <v>140000</v>
      </c>
    </row>
    <row r="71" spans="1:14" x14ac:dyDescent="0.45">
      <c r="A71" s="10">
        <f t="shared" si="16"/>
        <v>70</v>
      </c>
      <c r="B71" s="5" t="s">
        <v>137</v>
      </c>
      <c r="C71" s="5" t="s">
        <v>354</v>
      </c>
      <c r="D71" s="5">
        <f t="shared" si="17"/>
        <v>0</v>
      </c>
      <c r="E71" s="5">
        <v>0</v>
      </c>
      <c r="F71" s="5">
        <f t="shared" si="11"/>
        <v>0</v>
      </c>
      <c r="G71" s="5">
        <v>0</v>
      </c>
      <c r="H71" s="5">
        <f t="shared" si="12"/>
        <v>20000</v>
      </c>
      <c r="I71" s="5">
        <v>1</v>
      </c>
      <c r="J71" s="5">
        <f t="shared" si="13"/>
        <v>80000</v>
      </c>
      <c r="K71" s="5">
        <v>4</v>
      </c>
      <c r="L71" s="5">
        <f t="shared" si="14"/>
        <v>0</v>
      </c>
      <c r="M71" s="5">
        <v>0</v>
      </c>
      <c r="N71" s="6">
        <f t="shared" si="15"/>
        <v>100000</v>
      </c>
    </row>
    <row r="72" spans="1:14" x14ac:dyDescent="0.45">
      <c r="A72" s="10">
        <f t="shared" si="16"/>
        <v>71</v>
      </c>
      <c r="B72" s="5" t="s">
        <v>138</v>
      </c>
      <c r="C72" s="5" t="s">
        <v>354</v>
      </c>
      <c r="D72" s="5">
        <f t="shared" si="17"/>
        <v>0</v>
      </c>
      <c r="E72" s="5">
        <v>0</v>
      </c>
      <c r="F72" s="5">
        <f t="shared" si="11"/>
        <v>0</v>
      </c>
      <c r="G72" s="5">
        <v>0</v>
      </c>
      <c r="H72" s="5">
        <f t="shared" si="12"/>
        <v>20000</v>
      </c>
      <c r="I72" s="5">
        <v>1</v>
      </c>
      <c r="J72" s="5">
        <f t="shared" si="13"/>
        <v>20000</v>
      </c>
      <c r="K72" s="5">
        <v>1</v>
      </c>
      <c r="L72" s="5">
        <f t="shared" si="14"/>
        <v>30000</v>
      </c>
      <c r="M72" s="5">
        <v>1</v>
      </c>
      <c r="N72" s="6">
        <f t="shared" si="15"/>
        <v>130000</v>
      </c>
    </row>
    <row r="73" spans="1:14" x14ac:dyDescent="0.45">
      <c r="A73" s="10">
        <f t="shared" si="16"/>
        <v>72</v>
      </c>
      <c r="B73" s="5" t="s">
        <v>139</v>
      </c>
      <c r="C73" s="5" t="s">
        <v>354</v>
      </c>
      <c r="D73" s="5">
        <f t="shared" si="17"/>
        <v>0</v>
      </c>
      <c r="E73" s="5">
        <v>0</v>
      </c>
      <c r="F73" s="5">
        <f t="shared" si="11"/>
        <v>0</v>
      </c>
      <c r="G73" s="5">
        <v>0</v>
      </c>
      <c r="H73" s="5">
        <f t="shared" si="12"/>
        <v>0</v>
      </c>
      <c r="I73" s="5">
        <v>0</v>
      </c>
      <c r="J73" s="5">
        <f t="shared" si="13"/>
        <v>0</v>
      </c>
      <c r="K73" s="5">
        <v>0</v>
      </c>
      <c r="L73" s="5">
        <f t="shared" si="14"/>
        <v>0</v>
      </c>
      <c r="M73" s="5">
        <v>0</v>
      </c>
      <c r="N73" s="6">
        <f t="shared" si="15"/>
        <v>200000</v>
      </c>
    </row>
    <row r="74" spans="1:14" x14ac:dyDescent="0.45">
      <c r="A74" s="10">
        <f t="shared" si="16"/>
        <v>73</v>
      </c>
      <c r="B74" s="5" t="s">
        <v>140</v>
      </c>
      <c r="C74" s="5" t="s">
        <v>354</v>
      </c>
      <c r="D74" s="5">
        <f t="shared" si="17"/>
        <v>0</v>
      </c>
      <c r="E74" s="5">
        <v>0</v>
      </c>
      <c r="F74" s="5">
        <f t="shared" si="11"/>
        <v>0</v>
      </c>
      <c r="G74" s="5">
        <v>0</v>
      </c>
      <c r="H74" s="5">
        <f t="shared" si="12"/>
        <v>0</v>
      </c>
      <c r="I74" s="5">
        <v>0</v>
      </c>
      <c r="J74" s="5">
        <f t="shared" si="13"/>
        <v>120000</v>
      </c>
      <c r="K74" s="5">
        <v>6</v>
      </c>
      <c r="L74" s="5">
        <f t="shared" si="14"/>
        <v>0</v>
      </c>
      <c r="M74" s="5">
        <v>0</v>
      </c>
      <c r="N74" s="6">
        <f t="shared" si="15"/>
        <v>80000</v>
      </c>
    </row>
    <row r="75" spans="1:14" x14ac:dyDescent="0.45">
      <c r="A75" s="10">
        <f t="shared" si="16"/>
        <v>74</v>
      </c>
      <c r="B75" s="5" t="s">
        <v>141</v>
      </c>
      <c r="C75" s="5" t="s">
        <v>354</v>
      </c>
      <c r="D75" s="5">
        <f t="shared" si="17"/>
        <v>0</v>
      </c>
      <c r="E75" s="5">
        <v>0</v>
      </c>
      <c r="F75" s="5">
        <f t="shared" si="11"/>
        <v>100000</v>
      </c>
      <c r="G75" s="5">
        <v>1</v>
      </c>
      <c r="H75" s="5">
        <f t="shared" si="12"/>
        <v>0</v>
      </c>
      <c r="I75" s="5">
        <v>0</v>
      </c>
      <c r="J75" s="5">
        <f t="shared" si="13"/>
        <v>20000</v>
      </c>
      <c r="K75" s="5">
        <v>1</v>
      </c>
      <c r="L75" s="5">
        <f t="shared" si="14"/>
        <v>60000</v>
      </c>
      <c r="M75" s="5">
        <v>2</v>
      </c>
      <c r="N75" s="6">
        <f t="shared" si="15"/>
        <v>20000</v>
      </c>
    </row>
    <row r="76" spans="1:14" x14ac:dyDescent="0.45">
      <c r="A76" s="10">
        <f t="shared" si="16"/>
        <v>75</v>
      </c>
      <c r="B76" s="5" t="s">
        <v>142</v>
      </c>
      <c r="C76" s="5" t="s">
        <v>354</v>
      </c>
      <c r="D76" s="5">
        <f t="shared" si="17"/>
        <v>0</v>
      </c>
      <c r="E76" s="5">
        <v>0</v>
      </c>
      <c r="F76" s="5">
        <f t="shared" si="11"/>
        <v>0</v>
      </c>
      <c r="G76" s="5">
        <v>0</v>
      </c>
      <c r="H76" s="5">
        <f t="shared" si="12"/>
        <v>0</v>
      </c>
      <c r="I76" s="5">
        <v>0</v>
      </c>
      <c r="J76" s="5">
        <f t="shared" si="13"/>
        <v>20000</v>
      </c>
      <c r="K76" s="5">
        <v>1</v>
      </c>
      <c r="L76" s="5">
        <f t="shared" si="14"/>
        <v>0</v>
      </c>
      <c r="M76" s="5">
        <v>0</v>
      </c>
      <c r="N76" s="6">
        <f t="shared" si="15"/>
        <v>180000</v>
      </c>
    </row>
    <row r="77" spans="1:14" x14ac:dyDescent="0.45">
      <c r="A77" s="10">
        <f t="shared" si="16"/>
        <v>76</v>
      </c>
      <c r="B77" s="5" t="s">
        <v>143</v>
      </c>
      <c r="C77" s="5" t="s">
        <v>354</v>
      </c>
      <c r="D77" s="5">
        <f t="shared" si="17"/>
        <v>0</v>
      </c>
      <c r="E77" s="5">
        <v>0</v>
      </c>
      <c r="F77" s="5">
        <f t="shared" si="11"/>
        <v>0</v>
      </c>
      <c r="G77" s="5">
        <v>0</v>
      </c>
      <c r="H77" s="5">
        <f t="shared" si="12"/>
        <v>0</v>
      </c>
      <c r="I77" s="5">
        <v>0</v>
      </c>
      <c r="J77" s="5">
        <f t="shared" si="13"/>
        <v>40000</v>
      </c>
      <c r="K77" s="5">
        <v>2</v>
      </c>
      <c r="L77" s="5">
        <f t="shared" si="14"/>
        <v>30000</v>
      </c>
      <c r="M77" s="5">
        <v>1</v>
      </c>
      <c r="N77" s="6">
        <f t="shared" si="15"/>
        <v>130000</v>
      </c>
    </row>
    <row r="78" spans="1:14" x14ac:dyDescent="0.45">
      <c r="A78" s="10">
        <f t="shared" si="16"/>
        <v>77</v>
      </c>
      <c r="B78" s="5" t="s">
        <v>144</v>
      </c>
      <c r="C78" s="5" t="s">
        <v>354</v>
      </c>
      <c r="D78" s="5">
        <f t="shared" si="17"/>
        <v>0</v>
      </c>
      <c r="E78" s="5">
        <v>0</v>
      </c>
      <c r="F78" s="5">
        <f t="shared" si="11"/>
        <v>0</v>
      </c>
      <c r="G78" s="5">
        <v>0</v>
      </c>
      <c r="H78" s="5">
        <f t="shared" si="12"/>
        <v>0</v>
      </c>
      <c r="I78" s="5">
        <v>0</v>
      </c>
      <c r="J78" s="5">
        <f t="shared" si="13"/>
        <v>20000</v>
      </c>
      <c r="K78" s="5">
        <v>1</v>
      </c>
      <c r="L78" s="5">
        <f t="shared" si="14"/>
        <v>0</v>
      </c>
      <c r="M78" s="5">
        <v>0</v>
      </c>
      <c r="N78" s="6">
        <f t="shared" si="15"/>
        <v>180000</v>
      </c>
    </row>
    <row r="79" spans="1:14" x14ac:dyDescent="0.45">
      <c r="A79" s="10">
        <f t="shared" si="16"/>
        <v>78</v>
      </c>
      <c r="B79" s="5" t="s">
        <v>145</v>
      </c>
      <c r="C79" s="5" t="s">
        <v>354</v>
      </c>
      <c r="D79" s="5">
        <f t="shared" si="17"/>
        <v>0</v>
      </c>
      <c r="E79" s="5">
        <v>0</v>
      </c>
      <c r="F79" s="5">
        <f t="shared" si="11"/>
        <v>0</v>
      </c>
      <c r="G79" s="5">
        <v>0</v>
      </c>
      <c r="H79" s="5">
        <f t="shared" si="12"/>
        <v>0</v>
      </c>
      <c r="I79" s="5">
        <v>0</v>
      </c>
      <c r="J79" s="5">
        <f t="shared" si="13"/>
        <v>20000</v>
      </c>
      <c r="K79" s="5">
        <v>1</v>
      </c>
      <c r="L79" s="5">
        <f t="shared" si="14"/>
        <v>0</v>
      </c>
      <c r="M79" s="5">
        <v>0</v>
      </c>
      <c r="N79" s="6">
        <f t="shared" si="15"/>
        <v>180000</v>
      </c>
    </row>
    <row r="80" spans="1:14" x14ac:dyDescent="0.45">
      <c r="A80" s="10">
        <f t="shared" si="16"/>
        <v>79</v>
      </c>
      <c r="B80" s="5" t="s">
        <v>146</v>
      </c>
      <c r="C80" s="5" t="s">
        <v>354</v>
      </c>
      <c r="D80" s="5">
        <f t="shared" si="17"/>
        <v>0</v>
      </c>
      <c r="E80" s="5">
        <v>0</v>
      </c>
      <c r="F80" s="5">
        <f t="shared" si="11"/>
        <v>0</v>
      </c>
      <c r="G80" s="5">
        <v>0</v>
      </c>
      <c r="H80" s="5">
        <f t="shared" si="12"/>
        <v>0</v>
      </c>
      <c r="I80" s="5">
        <v>0</v>
      </c>
      <c r="J80" s="5">
        <f t="shared" si="13"/>
        <v>40000</v>
      </c>
      <c r="K80" s="5">
        <v>2</v>
      </c>
      <c r="L80" s="5">
        <f t="shared" si="14"/>
        <v>60000</v>
      </c>
      <c r="M80" s="5">
        <v>2</v>
      </c>
      <c r="N80" s="6">
        <f t="shared" si="15"/>
        <v>100000</v>
      </c>
    </row>
    <row r="81" spans="1:14" x14ac:dyDescent="0.45">
      <c r="A81" s="10">
        <f t="shared" si="16"/>
        <v>80</v>
      </c>
      <c r="B81" s="5" t="s">
        <v>147</v>
      </c>
      <c r="C81" s="5" t="s">
        <v>354</v>
      </c>
      <c r="D81" s="5">
        <f t="shared" si="17"/>
        <v>0</v>
      </c>
      <c r="E81" s="5">
        <v>0</v>
      </c>
      <c r="F81" s="5">
        <f t="shared" si="11"/>
        <v>0</v>
      </c>
      <c r="G81" s="5">
        <v>0</v>
      </c>
      <c r="H81" s="5">
        <f t="shared" si="12"/>
        <v>0</v>
      </c>
      <c r="I81" s="5">
        <v>0</v>
      </c>
      <c r="J81" s="5">
        <f t="shared" si="13"/>
        <v>0</v>
      </c>
      <c r="K81" s="5">
        <v>0</v>
      </c>
      <c r="L81" s="5">
        <f t="shared" si="14"/>
        <v>0</v>
      </c>
      <c r="M81" s="5">
        <v>0</v>
      </c>
      <c r="N81" s="6">
        <f t="shared" si="15"/>
        <v>200000</v>
      </c>
    </row>
    <row r="82" spans="1:14" x14ac:dyDescent="0.45">
      <c r="A82" s="10">
        <f t="shared" si="16"/>
        <v>81</v>
      </c>
      <c r="B82" s="5" t="s">
        <v>148</v>
      </c>
      <c r="C82" s="5" t="s">
        <v>354</v>
      </c>
      <c r="D82" s="5">
        <f t="shared" si="17"/>
        <v>0</v>
      </c>
      <c r="E82" s="5">
        <v>0</v>
      </c>
      <c r="F82" s="5">
        <f t="shared" si="11"/>
        <v>0</v>
      </c>
      <c r="G82" s="5">
        <v>0</v>
      </c>
      <c r="H82" s="5">
        <f t="shared" si="12"/>
        <v>0</v>
      </c>
      <c r="I82" s="5">
        <v>0</v>
      </c>
      <c r="J82" s="5">
        <f t="shared" si="13"/>
        <v>40000</v>
      </c>
      <c r="K82" s="5">
        <v>2</v>
      </c>
      <c r="L82" s="5">
        <f t="shared" si="14"/>
        <v>30000</v>
      </c>
      <c r="M82" s="5">
        <v>1</v>
      </c>
      <c r="N82" s="6">
        <f t="shared" si="15"/>
        <v>130000</v>
      </c>
    </row>
    <row r="83" spans="1:14" x14ac:dyDescent="0.45">
      <c r="A83" s="10">
        <f t="shared" si="16"/>
        <v>82</v>
      </c>
      <c r="B83" s="5" t="s">
        <v>149</v>
      </c>
      <c r="C83" s="5" t="s">
        <v>354</v>
      </c>
      <c r="D83" s="5">
        <f t="shared" si="17"/>
        <v>0</v>
      </c>
      <c r="E83" s="5">
        <v>0</v>
      </c>
      <c r="F83" s="5">
        <f t="shared" si="11"/>
        <v>100000</v>
      </c>
      <c r="G83" s="5">
        <v>1</v>
      </c>
      <c r="H83" s="5">
        <f t="shared" si="12"/>
        <v>0</v>
      </c>
      <c r="I83" s="5">
        <v>0</v>
      </c>
      <c r="J83" s="5">
        <f t="shared" si="13"/>
        <v>40000</v>
      </c>
      <c r="K83" s="5">
        <v>2</v>
      </c>
      <c r="L83" s="5">
        <f t="shared" si="14"/>
        <v>60000</v>
      </c>
      <c r="M83" s="5">
        <v>2</v>
      </c>
      <c r="N83" s="6">
        <f t="shared" si="15"/>
        <v>0</v>
      </c>
    </row>
    <row r="84" spans="1:14" x14ac:dyDescent="0.45">
      <c r="A84" s="10">
        <f t="shared" si="16"/>
        <v>83</v>
      </c>
      <c r="B84" s="5" t="s">
        <v>150</v>
      </c>
      <c r="C84" s="5" t="s">
        <v>354</v>
      </c>
      <c r="D84" s="5">
        <f t="shared" si="17"/>
        <v>0</v>
      </c>
      <c r="E84" s="5">
        <v>0</v>
      </c>
      <c r="F84" s="5">
        <f t="shared" si="11"/>
        <v>100000</v>
      </c>
      <c r="G84" s="5">
        <v>1</v>
      </c>
      <c r="H84" s="5">
        <f t="shared" si="12"/>
        <v>20000</v>
      </c>
      <c r="I84" s="5">
        <v>1</v>
      </c>
      <c r="J84" s="5">
        <f t="shared" si="13"/>
        <v>40000</v>
      </c>
      <c r="K84" s="5">
        <v>2</v>
      </c>
      <c r="L84" s="5">
        <f t="shared" si="14"/>
        <v>30000</v>
      </c>
      <c r="M84" s="5">
        <v>1</v>
      </c>
      <c r="N84" s="6">
        <f t="shared" si="15"/>
        <v>10000</v>
      </c>
    </row>
    <row r="85" spans="1:14" x14ac:dyDescent="0.45">
      <c r="A85" s="10">
        <f t="shared" si="16"/>
        <v>84</v>
      </c>
      <c r="B85" s="5" t="s">
        <v>151</v>
      </c>
      <c r="C85" s="5" t="s">
        <v>354</v>
      </c>
      <c r="D85" s="5">
        <f t="shared" si="17"/>
        <v>0</v>
      </c>
      <c r="E85" s="5">
        <v>0</v>
      </c>
      <c r="F85" s="5">
        <f t="shared" si="11"/>
        <v>0</v>
      </c>
      <c r="G85" s="5">
        <v>0</v>
      </c>
      <c r="H85" s="5">
        <f t="shared" si="12"/>
        <v>20000</v>
      </c>
      <c r="I85" s="5">
        <v>1</v>
      </c>
      <c r="J85" s="5">
        <f t="shared" si="13"/>
        <v>20000</v>
      </c>
      <c r="K85" s="5">
        <v>1</v>
      </c>
      <c r="L85" s="5">
        <f t="shared" si="14"/>
        <v>30000</v>
      </c>
      <c r="M85" s="5">
        <v>1</v>
      </c>
      <c r="N85" s="6">
        <f t="shared" si="15"/>
        <v>130000</v>
      </c>
    </row>
    <row r="86" spans="1:14" x14ac:dyDescent="0.45">
      <c r="A86" s="10">
        <f t="shared" si="16"/>
        <v>85</v>
      </c>
      <c r="B86" s="5" t="s">
        <v>152</v>
      </c>
      <c r="C86" s="5" t="s">
        <v>354</v>
      </c>
      <c r="D86" s="5">
        <f t="shared" si="17"/>
        <v>0</v>
      </c>
      <c r="E86" s="5">
        <v>0</v>
      </c>
      <c r="F86" s="5">
        <f t="shared" si="11"/>
        <v>0</v>
      </c>
      <c r="G86" s="5">
        <v>0</v>
      </c>
      <c r="H86" s="5">
        <f t="shared" si="12"/>
        <v>0</v>
      </c>
      <c r="I86" s="5">
        <v>0</v>
      </c>
      <c r="J86" s="5">
        <f t="shared" si="13"/>
        <v>60000</v>
      </c>
      <c r="K86" s="5">
        <v>3</v>
      </c>
      <c r="L86" s="5">
        <f t="shared" si="14"/>
        <v>60000</v>
      </c>
      <c r="M86" s="5">
        <v>2</v>
      </c>
      <c r="N86" s="6">
        <f t="shared" si="15"/>
        <v>80000</v>
      </c>
    </row>
    <row r="87" spans="1:14" x14ac:dyDescent="0.45">
      <c r="A87" s="10">
        <f t="shared" si="16"/>
        <v>86</v>
      </c>
      <c r="B87" s="5" t="s">
        <v>153</v>
      </c>
      <c r="C87" s="5" t="s">
        <v>354</v>
      </c>
      <c r="D87" s="5">
        <f t="shared" si="17"/>
        <v>0</v>
      </c>
      <c r="E87" s="5">
        <v>0</v>
      </c>
      <c r="F87" s="5">
        <f t="shared" si="11"/>
        <v>0</v>
      </c>
      <c r="G87" s="5">
        <v>0</v>
      </c>
      <c r="H87" s="5">
        <f t="shared" si="12"/>
        <v>0</v>
      </c>
      <c r="I87" s="5">
        <v>0</v>
      </c>
      <c r="J87" s="5">
        <f t="shared" si="13"/>
        <v>40000</v>
      </c>
      <c r="K87" s="5">
        <v>2</v>
      </c>
      <c r="L87" s="5">
        <f t="shared" si="14"/>
        <v>30000</v>
      </c>
      <c r="M87" s="5">
        <v>1</v>
      </c>
      <c r="N87" s="6">
        <f t="shared" si="15"/>
        <v>130000</v>
      </c>
    </row>
    <row r="88" spans="1:14" x14ac:dyDescent="0.45">
      <c r="A88" s="10">
        <f t="shared" si="16"/>
        <v>87</v>
      </c>
      <c r="B88" s="5" t="s">
        <v>154</v>
      </c>
      <c r="C88" s="5" t="s">
        <v>354</v>
      </c>
      <c r="D88" s="5">
        <f t="shared" si="17"/>
        <v>0</v>
      </c>
      <c r="E88" s="5">
        <v>0</v>
      </c>
      <c r="F88" s="5">
        <f t="shared" si="11"/>
        <v>0</v>
      </c>
      <c r="G88" s="5">
        <v>0</v>
      </c>
      <c r="H88" s="5">
        <f t="shared" si="12"/>
        <v>0</v>
      </c>
      <c r="I88" s="5">
        <v>0</v>
      </c>
      <c r="J88" s="5">
        <f t="shared" si="13"/>
        <v>20000</v>
      </c>
      <c r="K88" s="5">
        <v>1</v>
      </c>
      <c r="L88" s="5">
        <f t="shared" si="14"/>
        <v>0</v>
      </c>
      <c r="M88" s="5">
        <v>0</v>
      </c>
      <c r="N88" s="6">
        <f t="shared" si="15"/>
        <v>180000</v>
      </c>
    </row>
    <row r="89" spans="1:14" x14ac:dyDescent="0.45">
      <c r="A89" s="10">
        <f t="shared" si="16"/>
        <v>88</v>
      </c>
      <c r="B89" s="5" t="s">
        <v>155</v>
      </c>
      <c r="C89" s="5" t="s">
        <v>354</v>
      </c>
      <c r="D89" s="5">
        <f t="shared" si="17"/>
        <v>0</v>
      </c>
      <c r="E89" s="5">
        <v>0</v>
      </c>
      <c r="F89" s="5">
        <f t="shared" si="11"/>
        <v>0</v>
      </c>
      <c r="G89" s="5">
        <v>0</v>
      </c>
      <c r="H89" s="5">
        <f t="shared" si="12"/>
        <v>0</v>
      </c>
      <c r="I89" s="5">
        <v>0</v>
      </c>
      <c r="J89" s="5">
        <f t="shared" si="13"/>
        <v>0</v>
      </c>
      <c r="K89" s="5">
        <v>0</v>
      </c>
      <c r="L89" s="5">
        <f t="shared" si="14"/>
        <v>0</v>
      </c>
      <c r="M89" s="5">
        <v>0</v>
      </c>
      <c r="N89" s="6">
        <f t="shared" si="15"/>
        <v>200000</v>
      </c>
    </row>
    <row r="90" spans="1:14" x14ac:dyDescent="0.45">
      <c r="A90" s="10">
        <f t="shared" si="16"/>
        <v>89</v>
      </c>
      <c r="B90" s="5" t="s">
        <v>156</v>
      </c>
      <c r="C90" s="5" t="s">
        <v>354</v>
      </c>
      <c r="D90" s="5">
        <f t="shared" si="17"/>
        <v>0</v>
      </c>
      <c r="E90" s="5">
        <v>0</v>
      </c>
      <c r="F90" s="5">
        <f t="shared" si="11"/>
        <v>0</v>
      </c>
      <c r="G90" s="5">
        <v>0</v>
      </c>
      <c r="H90" s="5">
        <f t="shared" si="12"/>
        <v>0</v>
      </c>
      <c r="I90" s="5">
        <v>0</v>
      </c>
      <c r="J90" s="5">
        <f t="shared" si="13"/>
        <v>0</v>
      </c>
      <c r="K90" s="5">
        <v>0</v>
      </c>
      <c r="L90" s="5">
        <f t="shared" si="14"/>
        <v>0</v>
      </c>
      <c r="M90" s="5">
        <v>0</v>
      </c>
      <c r="N90" s="6">
        <f t="shared" si="15"/>
        <v>200000</v>
      </c>
    </row>
    <row r="91" spans="1:14" x14ac:dyDescent="0.45">
      <c r="A91" s="10">
        <f t="shared" si="16"/>
        <v>90</v>
      </c>
      <c r="B91" s="5" t="s">
        <v>157</v>
      </c>
      <c r="C91" s="5" t="s">
        <v>354</v>
      </c>
      <c r="D91" s="5">
        <f t="shared" si="17"/>
        <v>0</v>
      </c>
      <c r="E91" s="5">
        <v>0</v>
      </c>
      <c r="F91" s="5">
        <f t="shared" si="11"/>
        <v>0</v>
      </c>
      <c r="G91" s="5">
        <v>0</v>
      </c>
      <c r="H91" s="5">
        <f t="shared" si="12"/>
        <v>0</v>
      </c>
      <c r="I91" s="5">
        <v>0</v>
      </c>
      <c r="J91" s="5">
        <f t="shared" si="13"/>
        <v>0</v>
      </c>
      <c r="K91" s="5">
        <v>0</v>
      </c>
      <c r="L91" s="5">
        <f t="shared" si="14"/>
        <v>0</v>
      </c>
      <c r="M91" s="5">
        <v>0</v>
      </c>
      <c r="N91" s="6">
        <f t="shared" si="15"/>
        <v>200000</v>
      </c>
    </row>
    <row r="92" spans="1:14" x14ac:dyDescent="0.45">
      <c r="A92" s="10">
        <f t="shared" si="16"/>
        <v>91</v>
      </c>
      <c r="B92" s="5" t="s">
        <v>158</v>
      </c>
      <c r="C92" s="5" t="s">
        <v>354</v>
      </c>
      <c r="D92" s="5">
        <f t="shared" si="17"/>
        <v>0</v>
      </c>
      <c r="E92" s="5">
        <v>0</v>
      </c>
      <c r="F92" s="5">
        <f t="shared" si="11"/>
        <v>0</v>
      </c>
      <c r="G92" s="5">
        <v>0</v>
      </c>
      <c r="H92" s="5">
        <f t="shared" si="12"/>
        <v>0</v>
      </c>
      <c r="I92" s="5">
        <v>0</v>
      </c>
      <c r="J92" s="5">
        <f t="shared" si="13"/>
        <v>40000</v>
      </c>
      <c r="K92" s="5">
        <v>2</v>
      </c>
      <c r="L92" s="5">
        <f t="shared" si="14"/>
        <v>60000</v>
      </c>
      <c r="M92" s="5">
        <v>2</v>
      </c>
      <c r="N92" s="6">
        <f t="shared" si="15"/>
        <v>100000</v>
      </c>
    </row>
    <row r="93" spans="1:14" x14ac:dyDescent="0.45">
      <c r="A93" s="10">
        <f t="shared" si="16"/>
        <v>92</v>
      </c>
      <c r="B93" s="5" t="s">
        <v>159</v>
      </c>
      <c r="C93" s="5" t="s">
        <v>354</v>
      </c>
      <c r="D93" s="5">
        <f t="shared" si="17"/>
        <v>0</v>
      </c>
      <c r="E93" s="5">
        <v>0</v>
      </c>
      <c r="F93" s="5">
        <f t="shared" si="11"/>
        <v>0</v>
      </c>
      <c r="G93" s="5">
        <v>0</v>
      </c>
      <c r="H93" s="5">
        <f t="shared" si="12"/>
        <v>0</v>
      </c>
      <c r="I93" s="5">
        <v>0</v>
      </c>
      <c r="J93" s="5">
        <f t="shared" si="13"/>
        <v>20000</v>
      </c>
      <c r="K93" s="5">
        <v>1</v>
      </c>
      <c r="L93" s="5">
        <f t="shared" si="14"/>
        <v>0</v>
      </c>
      <c r="M93" s="5">
        <v>0</v>
      </c>
      <c r="N93" s="6">
        <f t="shared" si="15"/>
        <v>180000</v>
      </c>
    </row>
    <row r="94" spans="1:14" x14ac:dyDescent="0.45">
      <c r="A94" s="10">
        <f t="shared" si="16"/>
        <v>93</v>
      </c>
      <c r="B94" s="5" t="s">
        <v>160</v>
      </c>
      <c r="C94" s="5" t="s">
        <v>354</v>
      </c>
      <c r="D94" s="5">
        <f t="shared" si="17"/>
        <v>0</v>
      </c>
      <c r="E94" s="5">
        <v>0</v>
      </c>
      <c r="F94" s="5">
        <f t="shared" si="11"/>
        <v>0</v>
      </c>
      <c r="G94" s="5">
        <v>0</v>
      </c>
      <c r="H94" s="5">
        <f t="shared" si="12"/>
        <v>0</v>
      </c>
      <c r="I94" s="5">
        <v>0</v>
      </c>
      <c r="J94" s="5">
        <f t="shared" si="13"/>
        <v>0</v>
      </c>
      <c r="K94" s="5">
        <v>0</v>
      </c>
      <c r="L94" s="5">
        <f t="shared" si="14"/>
        <v>0</v>
      </c>
      <c r="M94" s="5">
        <v>0</v>
      </c>
      <c r="N94" s="6">
        <f t="shared" si="15"/>
        <v>200000</v>
      </c>
    </row>
    <row r="95" spans="1:14" x14ac:dyDescent="0.45">
      <c r="A95" s="10">
        <f t="shared" si="16"/>
        <v>94</v>
      </c>
      <c r="B95" s="5" t="s">
        <v>161</v>
      </c>
      <c r="C95" s="5" t="s">
        <v>354</v>
      </c>
      <c r="D95" s="5">
        <f t="shared" si="17"/>
        <v>0</v>
      </c>
      <c r="E95" s="5">
        <v>0</v>
      </c>
      <c r="F95" s="5">
        <f t="shared" si="11"/>
        <v>0</v>
      </c>
      <c r="G95" s="5">
        <v>0</v>
      </c>
      <c r="H95" s="5">
        <f t="shared" si="12"/>
        <v>20000</v>
      </c>
      <c r="I95" s="5">
        <v>1</v>
      </c>
      <c r="J95" s="5">
        <f t="shared" si="13"/>
        <v>0</v>
      </c>
      <c r="K95" s="5">
        <v>0</v>
      </c>
      <c r="L95" s="5">
        <f t="shared" si="14"/>
        <v>0</v>
      </c>
      <c r="M95" s="5">
        <v>0</v>
      </c>
      <c r="N95" s="6">
        <f t="shared" si="15"/>
        <v>180000</v>
      </c>
    </row>
    <row r="96" spans="1:14" x14ac:dyDescent="0.45">
      <c r="A96" s="10">
        <f t="shared" si="16"/>
        <v>95</v>
      </c>
      <c r="B96" s="5" t="s">
        <v>162</v>
      </c>
      <c r="C96" s="5" t="s">
        <v>354</v>
      </c>
      <c r="D96" s="5">
        <f t="shared" si="17"/>
        <v>0</v>
      </c>
      <c r="E96" s="5">
        <v>0</v>
      </c>
      <c r="F96" s="5">
        <f t="shared" si="11"/>
        <v>0</v>
      </c>
      <c r="G96" s="5">
        <v>0</v>
      </c>
      <c r="H96" s="5">
        <f t="shared" si="12"/>
        <v>20000</v>
      </c>
      <c r="I96" s="5">
        <v>1</v>
      </c>
      <c r="J96" s="5">
        <f t="shared" si="13"/>
        <v>40000</v>
      </c>
      <c r="K96" s="5">
        <v>2</v>
      </c>
      <c r="L96" s="5">
        <f t="shared" si="14"/>
        <v>60000</v>
      </c>
      <c r="M96" s="5">
        <v>2</v>
      </c>
      <c r="N96" s="6">
        <f t="shared" si="15"/>
        <v>80000</v>
      </c>
    </row>
    <row r="97" spans="1:14" x14ac:dyDescent="0.45">
      <c r="A97" s="10">
        <f t="shared" si="16"/>
        <v>96</v>
      </c>
      <c r="B97" s="5" t="s">
        <v>163</v>
      </c>
      <c r="C97" s="5" t="s">
        <v>354</v>
      </c>
      <c r="D97" s="5">
        <f t="shared" si="17"/>
        <v>0</v>
      </c>
      <c r="E97" s="5">
        <v>0</v>
      </c>
      <c r="F97" s="5">
        <f t="shared" si="11"/>
        <v>0</v>
      </c>
      <c r="G97" s="5">
        <v>0</v>
      </c>
      <c r="H97" s="5">
        <f t="shared" si="12"/>
        <v>0</v>
      </c>
      <c r="I97" s="5">
        <v>0</v>
      </c>
      <c r="J97" s="5">
        <f t="shared" si="13"/>
        <v>20000</v>
      </c>
      <c r="K97" s="5">
        <v>1</v>
      </c>
      <c r="L97" s="5">
        <f t="shared" si="14"/>
        <v>30000</v>
      </c>
      <c r="M97" s="5">
        <v>1</v>
      </c>
      <c r="N97" s="6">
        <f t="shared" si="15"/>
        <v>150000</v>
      </c>
    </row>
    <row r="98" spans="1:14" x14ac:dyDescent="0.45">
      <c r="A98" s="10">
        <f t="shared" si="16"/>
        <v>97</v>
      </c>
      <c r="B98" s="5" t="s">
        <v>164</v>
      </c>
      <c r="C98" s="5" t="s">
        <v>354</v>
      </c>
      <c r="D98" s="5">
        <f t="shared" si="17"/>
        <v>0</v>
      </c>
      <c r="E98" s="5">
        <v>0</v>
      </c>
      <c r="F98" s="5">
        <f t="shared" ref="F98:F101" si="18">G98*100000</f>
        <v>0</v>
      </c>
      <c r="G98" s="5">
        <v>0</v>
      </c>
      <c r="H98" s="5">
        <f t="shared" ref="H98:H101" si="19">I98*20000</f>
        <v>20000</v>
      </c>
      <c r="I98" s="5">
        <v>1</v>
      </c>
      <c r="J98" s="5">
        <f t="shared" si="13"/>
        <v>40000</v>
      </c>
      <c r="K98" s="5">
        <v>2</v>
      </c>
      <c r="L98" s="5">
        <f t="shared" si="14"/>
        <v>30000</v>
      </c>
      <c r="M98" s="5">
        <v>1</v>
      </c>
      <c r="N98" s="6">
        <f t="shared" si="15"/>
        <v>110000</v>
      </c>
    </row>
    <row r="99" spans="1:14" x14ac:dyDescent="0.45">
      <c r="A99" s="10">
        <f t="shared" si="16"/>
        <v>98</v>
      </c>
      <c r="B99" s="5" t="s">
        <v>165</v>
      </c>
      <c r="C99" s="5" t="s">
        <v>354</v>
      </c>
      <c r="D99" s="5">
        <f t="shared" si="17"/>
        <v>0</v>
      </c>
      <c r="E99" s="5">
        <v>0</v>
      </c>
      <c r="F99" s="5">
        <f t="shared" si="18"/>
        <v>0</v>
      </c>
      <c r="G99" s="5">
        <v>0</v>
      </c>
      <c r="H99" s="5">
        <f t="shared" si="19"/>
        <v>0</v>
      </c>
      <c r="I99" s="5">
        <v>0</v>
      </c>
      <c r="J99" s="5">
        <f t="shared" si="13"/>
        <v>0</v>
      </c>
      <c r="K99" s="5">
        <v>0</v>
      </c>
      <c r="L99" s="5">
        <f t="shared" si="14"/>
        <v>0</v>
      </c>
      <c r="M99" s="5">
        <v>0</v>
      </c>
      <c r="N99" s="6">
        <f t="shared" si="15"/>
        <v>200000</v>
      </c>
    </row>
    <row r="100" spans="1:14" x14ac:dyDescent="0.45">
      <c r="A100" s="10">
        <f t="shared" si="16"/>
        <v>99</v>
      </c>
      <c r="B100" s="5" t="s">
        <v>166</v>
      </c>
      <c r="C100" s="5" t="s">
        <v>354</v>
      </c>
      <c r="D100" s="5">
        <f t="shared" si="17"/>
        <v>0</v>
      </c>
      <c r="E100" s="5">
        <v>0</v>
      </c>
      <c r="F100" s="5">
        <f t="shared" si="18"/>
        <v>0</v>
      </c>
      <c r="G100" s="5">
        <v>0</v>
      </c>
      <c r="H100" s="5">
        <f t="shared" si="19"/>
        <v>0</v>
      </c>
      <c r="I100" s="5">
        <v>0</v>
      </c>
      <c r="J100" s="5">
        <f t="shared" si="13"/>
        <v>40000</v>
      </c>
      <c r="K100" s="5">
        <v>2</v>
      </c>
      <c r="L100" s="5">
        <f t="shared" si="14"/>
        <v>30000</v>
      </c>
      <c r="M100" s="5">
        <v>1</v>
      </c>
      <c r="N100" s="6">
        <f t="shared" si="15"/>
        <v>130000</v>
      </c>
    </row>
    <row r="101" spans="1:14" x14ac:dyDescent="0.45">
      <c r="A101" s="14">
        <f t="shared" si="16"/>
        <v>100</v>
      </c>
      <c r="B101" s="5" t="s">
        <v>167</v>
      </c>
      <c r="C101" s="5" t="s">
        <v>354</v>
      </c>
      <c r="D101" s="5">
        <f t="shared" si="17"/>
        <v>0</v>
      </c>
      <c r="E101" s="5">
        <v>0</v>
      </c>
      <c r="F101" s="15">
        <f t="shared" si="18"/>
        <v>0</v>
      </c>
      <c r="G101" s="5">
        <v>0</v>
      </c>
      <c r="H101" s="15">
        <f t="shared" si="19"/>
        <v>0</v>
      </c>
      <c r="I101" s="5">
        <v>0</v>
      </c>
      <c r="J101" s="5">
        <f t="shared" si="13"/>
        <v>0</v>
      </c>
      <c r="K101" s="5">
        <v>0</v>
      </c>
      <c r="L101" s="15">
        <f t="shared" si="14"/>
        <v>0</v>
      </c>
      <c r="M101" s="5">
        <v>0</v>
      </c>
      <c r="N101" s="16">
        <f t="shared" si="15"/>
        <v>200000</v>
      </c>
    </row>
    <row r="102" spans="1:14" x14ac:dyDescent="0.45">
      <c r="A102" s="10">
        <f t="shared" ref="A102:A121" si="20">ROW(A102)-1</f>
        <v>101</v>
      </c>
      <c r="B102" s="5" t="s">
        <v>168</v>
      </c>
      <c r="C102" s="5" t="s">
        <v>354</v>
      </c>
      <c r="D102" s="5">
        <f t="shared" ref="D102:D121" si="21">E102*5000</f>
        <v>0</v>
      </c>
      <c r="E102" s="5">
        <v>0</v>
      </c>
      <c r="F102" s="5">
        <f t="shared" ref="F102:F121" si="22">G102*100000</f>
        <v>0</v>
      </c>
      <c r="G102" s="5">
        <v>0</v>
      </c>
      <c r="H102" s="5">
        <f t="shared" ref="H102:H121" si="23">I102*20000</f>
        <v>20000</v>
      </c>
      <c r="I102" s="5">
        <v>1</v>
      </c>
      <c r="J102" s="5">
        <f t="shared" ref="J102:J121" si="24">K102*20000</f>
        <v>20000</v>
      </c>
      <c r="K102" s="5">
        <v>1</v>
      </c>
      <c r="L102" s="5">
        <f t="shared" si="14"/>
        <v>30000</v>
      </c>
      <c r="M102" s="5">
        <v>1</v>
      </c>
      <c r="N102" s="6">
        <f t="shared" ref="N102:N121" si="25">200000-L102-J102-H102-F102-D102</f>
        <v>130000</v>
      </c>
    </row>
    <row r="103" spans="1:14" x14ac:dyDescent="0.45">
      <c r="A103" s="10">
        <f t="shared" si="20"/>
        <v>102</v>
      </c>
      <c r="B103" s="5" t="s">
        <v>169</v>
      </c>
      <c r="C103" s="5" t="s">
        <v>354</v>
      </c>
      <c r="D103" s="5">
        <f t="shared" si="21"/>
        <v>0</v>
      </c>
      <c r="E103" s="5">
        <v>0</v>
      </c>
      <c r="F103" s="5">
        <f t="shared" si="22"/>
        <v>0</v>
      </c>
      <c r="G103" s="5">
        <v>0</v>
      </c>
      <c r="H103" s="5">
        <f t="shared" si="23"/>
        <v>40000</v>
      </c>
      <c r="I103" s="5">
        <v>2</v>
      </c>
      <c r="J103" s="5">
        <f t="shared" si="24"/>
        <v>20000</v>
      </c>
      <c r="K103" s="5">
        <v>1</v>
      </c>
      <c r="L103" s="5">
        <f t="shared" si="14"/>
        <v>0</v>
      </c>
      <c r="M103" s="5">
        <v>0</v>
      </c>
      <c r="N103" s="6">
        <f t="shared" si="25"/>
        <v>140000</v>
      </c>
    </row>
    <row r="104" spans="1:14" x14ac:dyDescent="0.45">
      <c r="A104" s="10">
        <f t="shared" si="20"/>
        <v>103</v>
      </c>
      <c r="B104" s="5" t="s">
        <v>170</v>
      </c>
      <c r="C104" s="5" t="s">
        <v>354</v>
      </c>
      <c r="D104" s="5">
        <f t="shared" si="21"/>
        <v>0</v>
      </c>
      <c r="E104" s="5">
        <v>0</v>
      </c>
      <c r="F104" s="5">
        <f t="shared" si="22"/>
        <v>0</v>
      </c>
      <c r="G104" s="5">
        <v>0</v>
      </c>
      <c r="H104" s="5">
        <f t="shared" si="23"/>
        <v>0</v>
      </c>
      <c r="I104" s="5">
        <v>0</v>
      </c>
      <c r="J104" s="5">
        <f t="shared" si="24"/>
        <v>20000</v>
      </c>
      <c r="K104" s="5">
        <v>1</v>
      </c>
      <c r="L104" s="5">
        <f t="shared" si="14"/>
        <v>0</v>
      </c>
      <c r="M104" s="5">
        <v>0</v>
      </c>
      <c r="N104" s="6">
        <f t="shared" si="25"/>
        <v>180000</v>
      </c>
    </row>
    <row r="105" spans="1:14" x14ac:dyDescent="0.45">
      <c r="A105" s="10">
        <f t="shared" si="20"/>
        <v>104</v>
      </c>
      <c r="B105" s="5" t="s">
        <v>171</v>
      </c>
      <c r="C105" s="5" t="s">
        <v>354</v>
      </c>
      <c r="D105" s="5">
        <f t="shared" si="21"/>
        <v>0</v>
      </c>
      <c r="E105" s="5">
        <v>0</v>
      </c>
      <c r="F105" s="5">
        <f t="shared" si="22"/>
        <v>0</v>
      </c>
      <c r="G105" s="5">
        <v>0</v>
      </c>
      <c r="H105" s="5">
        <f t="shared" si="23"/>
        <v>0</v>
      </c>
      <c r="I105" s="5">
        <v>0</v>
      </c>
      <c r="J105" s="5">
        <f t="shared" si="24"/>
        <v>100000</v>
      </c>
      <c r="K105" s="5">
        <v>5</v>
      </c>
      <c r="L105" s="5">
        <f t="shared" si="14"/>
        <v>90000</v>
      </c>
      <c r="M105" s="5">
        <v>3</v>
      </c>
      <c r="N105" s="6">
        <f t="shared" si="25"/>
        <v>10000</v>
      </c>
    </row>
    <row r="106" spans="1:14" x14ac:dyDescent="0.45">
      <c r="A106" s="10">
        <f t="shared" si="20"/>
        <v>105</v>
      </c>
      <c r="B106" s="5" t="s">
        <v>172</v>
      </c>
      <c r="C106" s="5" t="s">
        <v>354</v>
      </c>
      <c r="D106" s="5">
        <f t="shared" si="21"/>
        <v>0</v>
      </c>
      <c r="E106" s="5">
        <v>0</v>
      </c>
      <c r="F106" s="5">
        <f t="shared" si="22"/>
        <v>0</v>
      </c>
      <c r="G106" s="5">
        <v>0</v>
      </c>
      <c r="H106" s="5">
        <f t="shared" si="23"/>
        <v>0</v>
      </c>
      <c r="I106" s="5">
        <v>0</v>
      </c>
      <c r="J106" s="5">
        <f t="shared" si="24"/>
        <v>0</v>
      </c>
      <c r="K106" s="5">
        <v>0</v>
      </c>
      <c r="L106" s="5">
        <f t="shared" si="14"/>
        <v>0</v>
      </c>
      <c r="M106" s="5">
        <v>0</v>
      </c>
      <c r="N106" s="6">
        <f t="shared" si="25"/>
        <v>200000</v>
      </c>
    </row>
    <row r="107" spans="1:14" x14ac:dyDescent="0.45">
      <c r="A107" s="10">
        <f t="shared" si="20"/>
        <v>106</v>
      </c>
      <c r="B107" s="5" t="s">
        <v>173</v>
      </c>
      <c r="C107" s="5" t="s">
        <v>354</v>
      </c>
      <c r="D107" s="5">
        <f t="shared" si="21"/>
        <v>0</v>
      </c>
      <c r="E107" s="5">
        <v>0</v>
      </c>
      <c r="F107" s="5">
        <f t="shared" si="22"/>
        <v>0</v>
      </c>
      <c r="G107" s="5">
        <v>0</v>
      </c>
      <c r="H107" s="5">
        <f t="shared" si="23"/>
        <v>20000</v>
      </c>
      <c r="I107" s="5">
        <v>1</v>
      </c>
      <c r="J107" s="5">
        <f t="shared" si="24"/>
        <v>0</v>
      </c>
      <c r="K107" s="5">
        <v>0</v>
      </c>
      <c r="L107" s="5">
        <f t="shared" ref="L107:L121" si="26">M107*30000</f>
        <v>0</v>
      </c>
      <c r="M107" s="5">
        <v>0</v>
      </c>
      <c r="N107" s="6">
        <f t="shared" si="25"/>
        <v>180000</v>
      </c>
    </row>
    <row r="108" spans="1:14" x14ac:dyDescent="0.45">
      <c r="A108" s="10">
        <f t="shared" si="20"/>
        <v>107</v>
      </c>
      <c r="B108" s="5" t="s">
        <v>174</v>
      </c>
      <c r="C108" s="5" t="s">
        <v>354</v>
      </c>
      <c r="D108" s="5">
        <f t="shared" si="21"/>
        <v>5000</v>
      </c>
      <c r="E108" s="5">
        <v>1</v>
      </c>
      <c r="F108" s="5">
        <f t="shared" si="22"/>
        <v>0</v>
      </c>
      <c r="G108" s="5">
        <v>0</v>
      </c>
      <c r="H108" s="5">
        <f t="shared" si="23"/>
        <v>40000</v>
      </c>
      <c r="I108" s="5">
        <v>2</v>
      </c>
      <c r="J108" s="5">
        <f t="shared" si="24"/>
        <v>40000</v>
      </c>
      <c r="K108" s="5">
        <v>2</v>
      </c>
      <c r="L108" s="5">
        <f t="shared" si="26"/>
        <v>0</v>
      </c>
      <c r="M108" s="5">
        <v>0</v>
      </c>
      <c r="N108" s="6">
        <f t="shared" si="25"/>
        <v>115000</v>
      </c>
    </row>
    <row r="109" spans="1:14" x14ac:dyDescent="0.45">
      <c r="A109" s="10">
        <f t="shared" si="20"/>
        <v>108</v>
      </c>
      <c r="B109" s="5" t="s">
        <v>175</v>
      </c>
      <c r="C109" s="5" t="s">
        <v>354</v>
      </c>
      <c r="D109" s="5">
        <f t="shared" si="21"/>
        <v>0</v>
      </c>
      <c r="E109" s="5">
        <v>0</v>
      </c>
      <c r="F109" s="5">
        <f t="shared" si="22"/>
        <v>0</v>
      </c>
      <c r="G109" s="5">
        <v>0</v>
      </c>
      <c r="H109" s="5">
        <f t="shared" si="23"/>
        <v>0</v>
      </c>
      <c r="I109" s="5">
        <v>0</v>
      </c>
      <c r="J109" s="5">
        <f t="shared" si="24"/>
        <v>60000</v>
      </c>
      <c r="K109" s="5">
        <v>3</v>
      </c>
      <c r="L109" s="5">
        <f t="shared" si="26"/>
        <v>60000</v>
      </c>
      <c r="M109" s="5">
        <v>2</v>
      </c>
      <c r="N109" s="6">
        <f t="shared" si="25"/>
        <v>80000</v>
      </c>
    </row>
    <row r="110" spans="1:14" x14ac:dyDescent="0.45">
      <c r="A110" s="10">
        <f t="shared" si="20"/>
        <v>109</v>
      </c>
      <c r="B110" s="5" t="s">
        <v>176</v>
      </c>
      <c r="C110" s="5" t="s">
        <v>354</v>
      </c>
      <c r="D110" s="5">
        <f t="shared" si="21"/>
        <v>0</v>
      </c>
      <c r="E110" s="5">
        <v>0</v>
      </c>
      <c r="F110" s="5">
        <f t="shared" si="22"/>
        <v>0</v>
      </c>
      <c r="G110" s="5">
        <v>0</v>
      </c>
      <c r="H110" s="5">
        <f t="shared" si="23"/>
        <v>0</v>
      </c>
      <c r="I110" s="5">
        <v>0</v>
      </c>
      <c r="J110" s="5">
        <f t="shared" si="24"/>
        <v>0</v>
      </c>
      <c r="K110" s="5">
        <v>0</v>
      </c>
      <c r="L110" s="5">
        <f t="shared" si="26"/>
        <v>0</v>
      </c>
      <c r="M110" s="5">
        <v>0</v>
      </c>
      <c r="N110" s="6">
        <f t="shared" si="25"/>
        <v>200000</v>
      </c>
    </row>
    <row r="111" spans="1:14" x14ac:dyDescent="0.45">
      <c r="A111" s="10">
        <f t="shared" si="20"/>
        <v>110</v>
      </c>
      <c r="B111" s="5" t="s">
        <v>177</v>
      </c>
      <c r="C111" s="5" t="s">
        <v>354</v>
      </c>
      <c r="D111" s="5">
        <f t="shared" si="21"/>
        <v>0</v>
      </c>
      <c r="E111" s="5">
        <v>0</v>
      </c>
      <c r="F111" s="5">
        <f t="shared" si="22"/>
        <v>0</v>
      </c>
      <c r="G111" s="5">
        <v>0</v>
      </c>
      <c r="H111" s="5">
        <f t="shared" si="23"/>
        <v>0</v>
      </c>
      <c r="I111" s="5">
        <v>0</v>
      </c>
      <c r="J111" s="5">
        <f t="shared" si="24"/>
        <v>0</v>
      </c>
      <c r="K111" s="5">
        <v>0</v>
      </c>
      <c r="L111" s="5">
        <f t="shared" si="26"/>
        <v>0</v>
      </c>
      <c r="M111" s="5">
        <v>0</v>
      </c>
      <c r="N111" s="6">
        <f t="shared" si="25"/>
        <v>200000</v>
      </c>
    </row>
    <row r="112" spans="1:14" x14ac:dyDescent="0.45">
      <c r="A112" s="10">
        <f t="shared" si="20"/>
        <v>111</v>
      </c>
      <c r="B112" s="5" t="s">
        <v>178</v>
      </c>
      <c r="C112" s="5" t="s">
        <v>354</v>
      </c>
      <c r="D112" s="5">
        <f t="shared" si="21"/>
        <v>0</v>
      </c>
      <c r="E112" s="5">
        <v>0</v>
      </c>
      <c r="F112" s="5">
        <f t="shared" si="22"/>
        <v>0</v>
      </c>
      <c r="G112" s="5">
        <v>0</v>
      </c>
      <c r="H112" s="5">
        <f t="shared" si="23"/>
        <v>20000</v>
      </c>
      <c r="I112" s="5">
        <v>1</v>
      </c>
      <c r="J112" s="5">
        <f t="shared" si="24"/>
        <v>0</v>
      </c>
      <c r="K112" s="5">
        <v>0</v>
      </c>
      <c r="L112" s="5">
        <f t="shared" si="26"/>
        <v>30000</v>
      </c>
      <c r="M112" s="5">
        <v>1</v>
      </c>
      <c r="N112" s="6">
        <f t="shared" si="25"/>
        <v>150000</v>
      </c>
    </row>
    <row r="113" spans="1:15" x14ac:dyDescent="0.45">
      <c r="A113" s="10">
        <f t="shared" si="20"/>
        <v>112</v>
      </c>
      <c r="B113" s="5" t="s">
        <v>179</v>
      </c>
      <c r="C113" s="5" t="s">
        <v>354</v>
      </c>
      <c r="D113" s="5">
        <f t="shared" si="21"/>
        <v>0</v>
      </c>
      <c r="E113" s="5">
        <v>0</v>
      </c>
      <c r="F113" s="5">
        <f t="shared" si="22"/>
        <v>0</v>
      </c>
      <c r="G113" s="5">
        <v>0</v>
      </c>
      <c r="H113" s="5">
        <f t="shared" si="23"/>
        <v>0</v>
      </c>
      <c r="I113" s="5">
        <v>0</v>
      </c>
      <c r="J113" s="5">
        <f t="shared" si="24"/>
        <v>0</v>
      </c>
      <c r="K113" s="5">
        <v>0</v>
      </c>
      <c r="L113" s="5">
        <f t="shared" si="26"/>
        <v>0</v>
      </c>
      <c r="M113" s="5">
        <v>0</v>
      </c>
      <c r="N113" s="6">
        <f t="shared" si="25"/>
        <v>200000</v>
      </c>
    </row>
    <row r="114" spans="1:15" x14ac:dyDescent="0.45">
      <c r="A114" s="10">
        <f t="shared" si="20"/>
        <v>113</v>
      </c>
      <c r="B114" s="5" t="s">
        <v>180</v>
      </c>
      <c r="C114" s="5" t="s">
        <v>354</v>
      </c>
      <c r="D114" s="5">
        <f t="shared" si="21"/>
        <v>0</v>
      </c>
      <c r="E114" s="5">
        <v>0</v>
      </c>
      <c r="F114" s="5">
        <f t="shared" si="22"/>
        <v>0</v>
      </c>
      <c r="G114" s="5">
        <v>0</v>
      </c>
      <c r="H114" s="5">
        <f t="shared" si="23"/>
        <v>0</v>
      </c>
      <c r="I114" s="5">
        <v>0</v>
      </c>
      <c r="J114" s="5">
        <f t="shared" si="24"/>
        <v>0</v>
      </c>
      <c r="K114" s="5">
        <v>0</v>
      </c>
      <c r="L114" s="5">
        <f t="shared" si="26"/>
        <v>0</v>
      </c>
      <c r="M114" s="5">
        <v>0</v>
      </c>
      <c r="N114" s="6">
        <f t="shared" si="25"/>
        <v>200000</v>
      </c>
      <c r="O114" t="s">
        <v>369</v>
      </c>
    </row>
    <row r="115" spans="1:15" x14ac:dyDescent="0.45">
      <c r="A115" s="10">
        <f t="shared" si="20"/>
        <v>114</v>
      </c>
      <c r="B115" s="5" t="s">
        <v>181</v>
      </c>
      <c r="C115" s="5" t="s">
        <v>354</v>
      </c>
      <c r="D115" s="5">
        <f t="shared" si="21"/>
        <v>0</v>
      </c>
      <c r="E115" s="5">
        <v>0</v>
      </c>
      <c r="F115" s="5">
        <f t="shared" si="22"/>
        <v>0</v>
      </c>
      <c r="G115" s="5">
        <v>0</v>
      </c>
      <c r="H115" s="5">
        <f t="shared" si="23"/>
        <v>0</v>
      </c>
      <c r="I115" s="5">
        <v>0</v>
      </c>
      <c r="J115" s="5">
        <f t="shared" si="24"/>
        <v>0</v>
      </c>
      <c r="K115" s="5">
        <v>0</v>
      </c>
      <c r="L115" s="5">
        <f t="shared" si="26"/>
        <v>30000</v>
      </c>
      <c r="M115" s="5">
        <v>1</v>
      </c>
      <c r="N115" s="6">
        <f t="shared" si="25"/>
        <v>170000</v>
      </c>
    </row>
    <row r="116" spans="1:15" x14ac:dyDescent="0.45">
      <c r="A116" s="10">
        <f t="shared" si="20"/>
        <v>115</v>
      </c>
      <c r="B116" s="5" t="s">
        <v>182</v>
      </c>
      <c r="C116" s="5" t="s">
        <v>354</v>
      </c>
      <c r="D116" s="5">
        <f t="shared" si="21"/>
        <v>0</v>
      </c>
      <c r="E116" s="5">
        <v>0</v>
      </c>
      <c r="F116" s="5">
        <f t="shared" si="22"/>
        <v>0</v>
      </c>
      <c r="G116" s="5">
        <v>0</v>
      </c>
      <c r="H116" s="5">
        <f t="shared" si="23"/>
        <v>40000</v>
      </c>
      <c r="I116" s="5">
        <v>2</v>
      </c>
      <c r="J116" s="5">
        <f t="shared" si="24"/>
        <v>40000</v>
      </c>
      <c r="K116" s="5">
        <v>2</v>
      </c>
      <c r="L116" s="5">
        <f t="shared" si="26"/>
        <v>0</v>
      </c>
      <c r="M116" s="5">
        <v>0</v>
      </c>
      <c r="N116" s="6">
        <f t="shared" si="25"/>
        <v>120000</v>
      </c>
    </row>
    <row r="117" spans="1:15" x14ac:dyDescent="0.45">
      <c r="A117" s="10">
        <f t="shared" si="20"/>
        <v>116</v>
      </c>
      <c r="B117" s="5" t="s">
        <v>183</v>
      </c>
      <c r="C117" s="5" t="s">
        <v>354</v>
      </c>
      <c r="D117" s="5">
        <f t="shared" si="21"/>
        <v>0</v>
      </c>
      <c r="E117" s="5">
        <v>0</v>
      </c>
      <c r="F117" s="5">
        <f t="shared" si="22"/>
        <v>0</v>
      </c>
      <c r="G117" s="5">
        <v>0</v>
      </c>
      <c r="H117" s="5">
        <f t="shared" si="23"/>
        <v>20000</v>
      </c>
      <c r="I117" s="5">
        <v>1</v>
      </c>
      <c r="J117" s="5">
        <f t="shared" si="24"/>
        <v>20000</v>
      </c>
      <c r="K117" s="5">
        <v>1</v>
      </c>
      <c r="L117" s="5">
        <f t="shared" si="26"/>
        <v>30000</v>
      </c>
      <c r="M117" s="5">
        <v>1</v>
      </c>
      <c r="N117" s="6">
        <f t="shared" si="25"/>
        <v>130000</v>
      </c>
    </row>
    <row r="118" spans="1:15" x14ac:dyDescent="0.45">
      <c r="A118" s="10">
        <f t="shared" si="20"/>
        <v>117</v>
      </c>
      <c r="B118" s="5" t="s">
        <v>184</v>
      </c>
      <c r="C118" s="5" t="s">
        <v>354</v>
      </c>
      <c r="D118" s="5">
        <f t="shared" si="21"/>
        <v>0</v>
      </c>
      <c r="E118" s="5">
        <v>0</v>
      </c>
      <c r="F118" s="5">
        <f t="shared" si="22"/>
        <v>0</v>
      </c>
      <c r="G118" s="5">
        <v>0</v>
      </c>
      <c r="H118" s="5">
        <f t="shared" si="23"/>
        <v>0</v>
      </c>
      <c r="I118" s="5">
        <v>0</v>
      </c>
      <c r="J118" s="5">
        <f t="shared" si="24"/>
        <v>20000</v>
      </c>
      <c r="K118" s="5">
        <v>1</v>
      </c>
      <c r="L118" s="5">
        <f t="shared" si="26"/>
        <v>30000</v>
      </c>
      <c r="M118" s="5">
        <v>1</v>
      </c>
      <c r="N118" s="6">
        <f t="shared" si="25"/>
        <v>150000</v>
      </c>
    </row>
    <row r="119" spans="1:15" x14ac:dyDescent="0.45">
      <c r="A119" s="10">
        <f t="shared" si="20"/>
        <v>118</v>
      </c>
      <c r="B119" s="5" t="s">
        <v>185</v>
      </c>
      <c r="C119" s="5" t="s">
        <v>354</v>
      </c>
      <c r="D119" s="5">
        <f t="shared" si="21"/>
        <v>0</v>
      </c>
      <c r="E119" s="5">
        <v>0</v>
      </c>
      <c r="F119" s="5">
        <f t="shared" si="22"/>
        <v>0</v>
      </c>
      <c r="G119" s="5">
        <v>0</v>
      </c>
      <c r="H119" s="5">
        <f t="shared" si="23"/>
        <v>20000</v>
      </c>
      <c r="I119" s="5">
        <v>1</v>
      </c>
      <c r="J119" s="5">
        <f t="shared" si="24"/>
        <v>20000</v>
      </c>
      <c r="K119" s="5">
        <v>1</v>
      </c>
      <c r="L119" s="5">
        <f t="shared" si="26"/>
        <v>30000</v>
      </c>
      <c r="M119" s="5">
        <v>1</v>
      </c>
      <c r="N119" s="6">
        <f t="shared" si="25"/>
        <v>130000</v>
      </c>
    </row>
    <row r="120" spans="1:15" x14ac:dyDescent="0.45">
      <c r="A120" s="10">
        <f t="shared" si="20"/>
        <v>119</v>
      </c>
      <c r="B120" s="5" t="s">
        <v>186</v>
      </c>
      <c r="C120" s="5" t="s">
        <v>354</v>
      </c>
      <c r="D120" s="5">
        <f t="shared" si="21"/>
        <v>0</v>
      </c>
      <c r="E120" s="5">
        <v>0</v>
      </c>
      <c r="F120" s="5">
        <f t="shared" si="22"/>
        <v>0</v>
      </c>
      <c r="G120" s="5">
        <v>0</v>
      </c>
      <c r="H120" s="5">
        <f t="shared" si="23"/>
        <v>0</v>
      </c>
      <c r="I120" s="5">
        <v>0</v>
      </c>
      <c r="J120" s="5">
        <f t="shared" si="24"/>
        <v>20000</v>
      </c>
      <c r="K120" s="5">
        <v>1</v>
      </c>
      <c r="L120" s="5">
        <f t="shared" si="26"/>
        <v>0</v>
      </c>
      <c r="M120" s="5">
        <v>0</v>
      </c>
      <c r="N120" s="6">
        <f t="shared" si="25"/>
        <v>180000</v>
      </c>
    </row>
    <row r="121" spans="1:15" x14ac:dyDescent="0.45">
      <c r="A121" s="10">
        <f t="shared" si="20"/>
        <v>120</v>
      </c>
      <c r="B121" s="5" t="s">
        <v>187</v>
      </c>
      <c r="C121" s="5" t="s">
        <v>354</v>
      </c>
      <c r="D121" s="5">
        <f t="shared" si="21"/>
        <v>0</v>
      </c>
      <c r="E121" s="5">
        <v>0</v>
      </c>
      <c r="F121" s="5">
        <f t="shared" si="22"/>
        <v>0</v>
      </c>
      <c r="G121" s="5">
        <v>0</v>
      </c>
      <c r="H121" s="5">
        <f t="shared" si="23"/>
        <v>0</v>
      </c>
      <c r="I121" s="5">
        <v>0</v>
      </c>
      <c r="J121" s="5">
        <f t="shared" si="24"/>
        <v>0</v>
      </c>
      <c r="K121" s="5">
        <v>0</v>
      </c>
      <c r="L121" s="5">
        <f t="shared" si="26"/>
        <v>0</v>
      </c>
      <c r="M121" s="5">
        <v>0</v>
      </c>
      <c r="N121" s="6">
        <f t="shared" si="25"/>
        <v>200000</v>
      </c>
    </row>
    <row r="122" spans="1:15" x14ac:dyDescent="0.45">
      <c r="A122" s="10">
        <f>ROW(A122)-1</f>
        <v>121</v>
      </c>
      <c r="B122" s="5" t="s">
        <v>188</v>
      </c>
      <c r="C122" s="5" t="s">
        <v>354</v>
      </c>
      <c r="D122" s="5">
        <f>E122*5000</f>
        <v>0</v>
      </c>
      <c r="E122" s="5">
        <v>0</v>
      </c>
      <c r="F122" s="5">
        <f>G122*100000</f>
        <v>0</v>
      </c>
      <c r="G122" s="5">
        <v>0</v>
      </c>
      <c r="H122" s="5">
        <f>I122*20000</f>
        <v>0</v>
      </c>
      <c r="I122" s="5">
        <v>0</v>
      </c>
      <c r="J122" s="5">
        <f>K122*20000</f>
        <v>20000</v>
      </c>
      <c r="K122" s="5">
        <v>1</v>
      </c>
      <c r="L122" s="5">
        <f>M122*30000</f>
        <v>30000</v>
      </c>
      <c r="M122" s="5">
        <v>1</v>
      </c>
      <c r="N122" s="6">
        <f>200000-L122-J122-H122-F122-D122</f>
        <v>150000</v>
      </c>
    </row>
    <row r="123" spans="1:15" x14ac:dyDescent="0.45">
      <c r="A123" s="10">
        <f t="shared" ref="A123:A150" si="27">ROW(A123)-1</f>
        <v>122</v>
      </c>
      <c r="B123" s="5" t="s">
        <v>189</v>
      </c>
      <c r="C123" s="5" t="s">
        <v>354</v>
      </c>
      <c r="D123" s="5">
        <f t="shared" ref="D123:D150" si="28">E123*5000</f>
        <v>0</v>
      </c>
      <c r="E123" s="5">
        <v>0</v>
      </c>
      <c r="F123" s="5">
        <f t="shared" ref="F123:F150" si="29">G123*100000</f>
        <v>0</v>
      </c>
      <c r="G123" s="5">
        <v>0</v>
      </c>
      <c r="H123" s="5">
        <f t="shared" ref="H123:H150" si="30">I123*20000</f>
        <v>0</v>
      </c>
      <c r="I123" s="5">
        <v>0</v>
      </c>
      <c r="J123" s="5">
        <f t="shared" ref="J123:J150" si="31">K123*20000</f>
        <v>0</v>
      </c>
      <c r="K123" s="5">
        <v>0</v>
      </c>
      <c r="L123" s="5">
        <f t="shared" ref="L123:L150" si="32">M123*30000</f>
        <v>0</v>
      </c>
      <c r="M123" s="5">
        <v>0</v>
      </c>
      <c r="N123" s="6">
        <f t="shared" ref="N123:N150" si="33">200000-L123-J123-H123-F123-D123</f>
        <v>200000</v>
      </c>
    </row>
    <row r="124" spans="1:15" x14ac:dyDescent="0.45">
      <c r="A124" s="10">
        <f t="shared" si="27"/>
        <v>123</v>
      </c>
      <c r="B124" s="5" t="s">
        <v>190</v>
      </c>
      <c r="C124" s="5" t="s">
        <v>354</v>
      </c>
      <c r="D124" s="5">
        <f t="shared" si="28"/>
        <v>0</v>
      </c>
      <c r="E124" s="5">
        <v>0</v>
      </c>
      <c r="F124" s="5">
        <f t="shared" si="29"/>
        <v>0</v>
      </c>
      <c r="G124" s="5">
        <v>0</v>
      </c>
      <c r="H124" s="5">
        <f t="shared" si="30"/>
        <v>0</v>
      </c>
      <c r="I124" s="5">
        <v>0</v>
      </c>
      <c r="J124" s="5">
        <f t="shared" si="31"/>
        <v>0</v>
      </c>
      <c r="K124" s="5">
        <v>0</v>
      </c>
      <c r="L124" s="5">
        <f t="shared" si="32"/>
        <v>30000</v>
      </c>
      <c r="M124" s="5">
        <v>1</v>
      </c>
      <c r="N124" s="6">
        <f t="shared" si="33"/>
        <v>170000</v>
      </c>
    </row>
    <row r="125" spans="1:15" x14ac:dyDescent="0.45">
      <c r="A125" s="10">
        <f t="shared" si="27"/>
        <v>124</v>
      </c>
      <c r="B125" s="5" t="s">
        <v>191</v>
      </c>
      <c r="C125" s="5" t="s">
        <v>354</v>
      </c>
      <c r="D125" s="5">
        <f t="shared" si="28"/>
        <v>0</v>
      </c>
      <c r="E125" s="5">
        <v>0</v>
      </c>
      <c r="F125" s="5">
        <f t="shared" si="29"/>
        <v>0</v>
      </c>
      <c r="G125" s="5">
        <v>0</v>
      </c>
      <c r="H125" s="5">
        <f t="shared" si="30"/>
        <v>20000</v>
      </c>
      <c r="I125" s="5">
        <v>1</v>
      </c>
      <c r="J125" s="5">
        <f t="shared" si="31"/>
        <v>0</v>
      </c>
      <c r="K125" s="5">
        <v>0</v>
      </c>
      <c r="L125" s="5">
        <f t="shared" si="32"/>
        <v>0</v>
      </c>
      <c r="M125" s="5">
        <v>0</v>
      </c>
      <c r="N125" s="6">
        <f t="shared" si="33"/>
        <v>180000</v>
      </c>
    </row>
    <row r="126" spans="1:15" x14ac:dyDescent="0.45">
      <c r="A126" s="10">
        <f t="shared" si="27"/>
        <v>125</v>
      </c>
      <c r="B126" s="5" t="s">
        <v>192</v>
      </c>
      <c r="C126" s="5" t="s">
        <v>354</v>
      </c>
      <c r="D126" s="5">
        <f t="shared" si="28"/>
        <v>0</v>
      </c>
      <c r="E126" s="5">
        <v>0</v>
      </c>
      <c r="F126" s="5">
        <f t="shared" si="29"/>
        <v>0</v>
      </c>
      <c r="G126" s="5">
        <v>0</v>
      </c>
      <c r="H126" s="5">
        <f t="shared" si="30"/>
        <v>0</v>
      </c>
      <c r="I126" s="5">
        <v>0</v>
      </c>
      <c r="J126" s="5">
        <f t="shared" si="31"/>
        <v>0</v>
      </c>
      <c r="K126" s="5">
        <v>0</v>
      </c>
      <c r="L126" s="5">
        <f t="shared" si="32"/>
        <v>0</v>
      </c>
      <c r="M126" s="5">
        <v>0</v>
      </c>
      <c r="N126" s="6">
        <f t="shared" si="33"/>
        <v>200000</v>
      </c>
    </row>
    <row r="127" spans="1:15" x14ac:dyDescent="0.45">
      <c r="A127" s="10">
        <f t="shared" si="27"/>
        <v>126</v>
      </c>
      <c r="B127" s="5" t="s">
        <v>193</v>
      </c>
      <c r="C127" s="5" t="s">
        <v>354</v>
      </c>
      <c r="D127" s="5">
        <f t="shared" si="28"/>
        <v>0</v>
      </c>
      <c r="E127" s="5">
        <v>0</v>
      </c>
      <c r="F127" s="5">
        <f t="shared" si="29"/>
        <v>0</v>
      </c>
      <c r="G127" s="5">
        <v>0</v>
      </c>
      <c r="H127" s="5">
        <f t="shared" si="30"/>
        <v>20000</v>
      </c>
      <c r="I127" s="5">
        <v>1</v>
      </c>
      <c r="J127" s="5">
        <f t="shared" si="31"/>
        <v>20000</v>
      </c>
      <c r="K127" s="5">
        <v>1</v>
      </c>
      <c r="L127" s="5">
        <f t="shared" si="32"/>
        <v>60000</v>
      </c>
      <c r="M127" s="5">
        <v>2</v>
      </c>
      <c r="N127" s="6">
        <f t="shared" si="33"/>
        <v>100000</v>
      </c>
    </row>
    <row r="128" spans="1:15" x14ac:dyDescent="0.45">
      <c r="A128" s="10">
        <f t="shared" si="27"/>
        <v>127</v>
      </c>
      <c r="B128" s="5" t="s">
        <v>194</v>
      </c>
      <c r="C128" s="5" t="s">
        <v>354</v>
      </c>
      <c r="D128" s="5">
        <f t="shared" si="28"/>
        <v>0</v>
      </c>
      <c r="E128" s="5">
        <v>0</v>
      </c>
      <c r="F128" s="5">
        <f t="shared" si="29"/>
        <v>0</v>
      </c>
      <c r="G128" s="5">
        <v>0</v>
      </c>
      <c r="H128" s="5">
        <f t="shared" si="30"/>
        <v>40000</v>
      </c>
      <c r="I128" s="5">
        <v>2</v>
      </c>
      <c r="J128" s="5">
        <f t="shared" si="31"/>
        <v>80000</v>
      </c>
      <c r="K128" s="5">
        <v>4</v>
      </c>
      <c r="L128" s="5">
        <f t="shared" si="32"/>
        <v>0</v>
      </c>
      <c r="M128" s="5">
        <v>0</v>
      </c>
      <c r="N128" s="6">
        <f t="shared" si="33"/>
        <v>80000</v>
      </c>
    </row>
    <row r="129" spans="1:14" x14ac:dyDescent="0.45">
      <c r="A129" s="10">
        <f t="shared" si="27"/>
        <v>128</v>
      </c>
      <c r="B129" s="5" t="s">
        <v>195</v>
      </c>
      <c r="C129" s="5" t="s">
        <v>354</v>
      </c>
      <c r="D129" s="5">
        <f t="shared" si="28"/>
        <v>0</v>
      </c>
      <c r="E129" s="5">
        <v>0</v>
      </c>
      <c r="F129" s="5">
        <f t="shared" si="29"/>
        <v>0</v>
      </c>
      <c r="G129" s="5">
        <v>0</v>
      </c>
      <c r="H129" s="5">
        <f t="shared" si="30"/>
        <v>0</v>
      </c>
      <c r="I129" s="5">
        <v>0</v>
      </c>
      <c r="J129" s="5">
        <f t="shared" si="31"/>
        <v>20000</v>
      </c>
      <c r="K129" s="5">
        <v>1</v>
      </c>
      <c r="L129" s="5">
        <f t="shared" si="32"/>
        <v>30000</v>
      </c>
      <c r="M129" s="5">
        <v>1</v>
      </c>
      <c r="N129" s="6">
        <f t="shared" si="33"/>
        <v>150000</v>
      </c>
    </row>
    <row r="130" spans="1:14" x14ac:dyDescent="0.45">
      <c r="A130" s="10">
        <f t="shared" si="27"/>
        <v>129</v>
      </c>
      <c r="B130" s="5" t="s">
        <v>196</v>
      </c>
      <c r="C130" s="5" t="s">
        <v>354</v>
      </c>
      <c r="D130" s="5">
        <f t="shared" si="28"/>
        <v>0</v>
      </c>
      <c r="E130" s="5">
        <v>0</v>
      </c>
      <c r="F130" s="5">
        <f t="shared" si="29"/>
        <v>0</v>
      </c>
      <c r="G130" s="5">
        <v>0</v>
      </c>
      <c r="H130" s="5">
        <f t="shared" si="30"/>
        <v>0</v>
      </c>
      <c r="I130" s="5">
        <v>0</v>
      </c>
      <c r="J130" s="5">
        <f t="shared" si="31"/>
        <v>0</v>
      </c>
      <c r="K130" s="5">
        <v>0</v>
      </c>
      <c r="L130" s="5">
        <f t="shared" si="32"/>
        <v>0</v>
      </c>
      <c r="M130" s="5">
        <v>0</v>
      </c>
      <c r="N130" s="6">
        <f t="shared" si="33"/>
        <v>200000</v>
      </c>
    </row>
    <row r="131" spans="1:14" x14ac:dyDescent="0.45">
      <c r="A131" s="10">
        <f t="shared" si="27"/>
        <v>130</v>
      </c>
      <c r="B131" s="5" t="s">
        <v>197</v>
      </c>
      <c r="C131" s="5" t="s">
        <v>354</v>
      </c>
      <c r="D131" s="5">
        <f t="shared" si="28"/>
        <v>0</v>
      </c>
      <c r="E131" s="5">
        <v>0</v>
      </c>
      <c r="F131" s="5">
        <f t="shared" si="29"/>
        <v>0</v>
      </c>
      <c r="G131" s="5">
        <v>0</v>
      </c>
      <c r="H131" s="5">
        <f t="shared" si="30"/>
        <v>0</v>
      </c>
      <c r="I131" s="5">
        <v>0</v>
      </c>
      <c r="J131" s="5">
        <f t="shared" si="31"/>
        <v>0</v>
      </c>
      <c r="K131" s="5">
        <v>0</v>
      </c>
      <c r="L131" s="5">
        <f t="shared" si="32"/>
        <v>0</v>
      </c>
      <c r="M131" s="5">
        <v>0</v>
      </c>
      <c r="N131" s="6">
        <f t="shared" si="33"/>
        <v>200000</v>
      </c>
    </row>
    <row r="132" spans="1:14" x14ac:dyDescent="0.45">
      <c r="A132" s="10">
        <f t="shared" si="27"/>
        <v>131</v>
      </c>
      <c r="B132" s="5" t="s">
        <v>198</v>
      </c>
      <c r="C132" s="5" t="s">
        <v>354</v>
      </c>
      <c r="D132" s="5">
        <f t="shared" si="28"/>
        <v>0</v>
      </c>
      <c r="E132" s="5">
        <v>0</v>
      </c>
      <c r="F132" s="5">
        <f t="shared" si="29"/>
        <v>0</v>
      </c>
      <c r="G132" s="5">
        <v>0</v>
      </c>
      <c r="H132" s="5">
        <f t="shared" si="30"/>
        <v>0</v>
      </c>
      <c r="I132" s="5">
        <v>0</v>
      </c>
      <c r="J132" s="5">
        <f t="shared" si="31"/>
        <v>0</v>
      </c>
      <c r="K132" s="5">
        <v>0</v>
      </c>
      <c r="L132" s="5">
        <f t="shared" si="32"/>
        <v>0</v>
      </c>
      <c r="M132" s="5">
        <v>0</v>
      </c>
      <c r="N132" s="6">
        <f t="shared" si="33"/>
        <v>200000</v>
      </c>
    </row>
    <row r="133" spans="1:14" x14ac:dyDescent="0.45">
      <c r="A133" s="10">
        <f t="shared" si="27"/>
        <v>132</v>
      </c>
      <c r="B133" s="5" t="s">
        <v>199</v>
      </c>
      <c r="C133" s="5" t="s">
        <v>354</v>
      </c>
      <c r="D133" s="5">
        <f t="shared" si="28"/>
        <v>0</v>
      </c>
      <c r="E133" s="5">
        <v>0</v>
      </c>
      <c r="F133" s="5">
        <f t="shared" si="29"/>
        <v>0</v>
      </c>
      <c r="G133" s="5">
        <v>0</v>
      </c>
      <c r="H133" s="5">
        <f t="shared" si="30"/>
        <v>0</v>
      </c>
      <c r="I133" s="5">
        <v>0</v>
      </c>
      <c r="J133" s="5">
        <f t="shared" si="31"/>
        <v>0</v>
      </c>
      <c r="K133" s="5">
        <v>0</v>
      </c>
      <c r="L133" s="5">
        <f t="shared" si="32"/>
        <v>0</v>
      </c>
      <c r="M133" s="5">
        <v>0</v>
      </c>
      <c r="N133" s="6">
        <f t="shared" si="33"/>
        <v>200000</v>
      </c>
    </row>
    <row r="134" spans="1:14" x14ac:dyDescent="0.45">
      <c r="A134" s="10">
        <f t="shared" si="27"/>
        <v>133</v>
      </c>
      <c r="B134" s="5" t="s">
        <v>200</v>
      </c>
      <c r="C134" s="5" t="s">
        <v>354</v>
      </c>
      <c r="D134" s="5">
        <f t="shared" si="28"/>
        <v>0</v>
      </c>
      <c r="E134" s="5">
        <v>0</v>
      </c>
      <c r="F134" s="5">
        <f t="shared" si="29"/>
        <v>0</v>
      </c>
      <c r="G134" s="5">
        <v>0</v>
      </c>
      <c r="H134" s="5">
        <f t="shared" si="30"/>
        <v>0</v>
      </c>
      <c r="I134" s="5">
        <v>0</v>
      </c>
      <c r="J134" s="5">
        <f t="shared" si="31"/>
        <v>0</v>
      </c>
      <c r="K134" s="5">
        <v>0</v>
      </c>
      <c r="L134" s="5">
        <f t="shared" si="32"/>
        <v>0</v>
      </c>
      <c r="M134" s="5">
        <v>0</v>
      </c>
      <c r="N134" s="6">
        <f t="shared" si="33"/>
        <v>200000</v>
      </c>
    </row>
    <row r="135" spans="1:14" x14ac:dyDescent="0.45">
      <c r="A135" s="10">
        <f t="shared" si="27"/>
        <v>134</v>
      </c>
      <c r="B135" s="5" t="s">
        <v>201</v>
      </c>
      <c r="C135" s="5" t="s">
        <v>354</v>
      </c>
      <c r="D135" s="5">
        <f t="shared" si="28"/>
        <v>0</v>
      </c>
      <c r="E135" s="5">
        <v>0</v>
      </c>
      <c r="F135" s="5">
        <f t="shared" si="29"/>
        <v>0</v>
      </c>
      <c r="G135" s="5">
        <v>0</v>
      </c>
      <c r="H135" s="5">
        <f t="shared" si="30"/>
        <v>20000</v>
      </c>
      <c r="I135" s="5">
        <v>1</v>
      </c>
      <c r="J135" s="5">
        <f t="shared" si="31"/>
        <v>40000</v>
      </c>
      <c r="K135" s="5">
        <v>2</v>
      </c>
      <c r="L135" s="5">
        <f t="shared" si="32"/>
        <v>30000</v>
      </c>
      <c r="M135" s="5">
        <v>1</v>
      </c>
      <c r="N135" s="6">
        <f t="shared" si="33"/>
        <v>110000</v>
      </c>
    </row>
    <row r="136" spans="1:14" x14ac:dyDescent="0.45">
      <c r="A136" s="10">
        <f t="shared" si="27"/>
        <v>135</v>
      </c>
      <c r="B136" s="5" t="s">
        <v>202</v>
      </c>
      <c r="C136" s="5" t="s">
        <v>354</v>
      </c>
      <c r="D136" s="5">
        <f t="shared" si="28"/>
        <v>0</v>
      </c>
      <c r="E136" s="5">
        <v>0</v>
      </c>
      <c r="F136" s="5">
        <f t="shared" si="29"/>
        <v>0</v>
      </c>
      <c r="G136" s="5">
        <v>0</v>
      </c>
      <c r="H136" s="5">
        <f t="shared" si="30"/>
        <v>0</v>
      </c>
      <c r="I136" s="5">
        <v>0</v>
      </c>
      <c r="J136" s="5">
        <f t="shared" si="31"/>
        <v>20000</v>
      </c>
      <c r="K136" s="5">
        <v>1</v>
      </c>
      <c r="L136" s="5">
        <f t="shared" si="32"/>
        <v>30000</v>
      </c>
      <c r="M136" s="5">
        <v>1</v>
      </c>
      <c r="N136" s="6">
        <f t="shared" si="33"/>
        <v>150000</v>
      </c>
    </row>
    <row r="137" spans="1:14" x14ac:dyDescent="0.45">
      <c r="A137" s="10">
        <f t="shared" si="27"/>
        <v>136</v>
      </c>
      <c r="B137" s="5" t="s">
        <v>203</v>
      </c>
      <c r="C137" s="5" t="s">
        <v>354</v>
      </c>
      <c r="D137" s="5">
        <f t="shared" si="28"/>
        <v>0</v>
      </c>
      <c r="E137" s="5">
        <v>0</v>
      </c>
      <c r="F137" s="5">
        <f t="shared" si="29"/>
        <v>0</v>
      </c>
      <c r="G137" s="5">
        <v>0</v>
      </c>
      <c r="H137" s="5">
        <f t="shared" si="30"/>
        <v>0</v>
      </c>
      <c r="I137" s="5">
        <v>0</v>
      </c>
      <c r="J137" s="5">
        <f t="shared" si="31"/>
        <v>20000</v>
      </c>
      <c r="K137" s="5">
        <v>1</v>
      </c>
      <c r="L137" s="5">
        <f t="shared" si="32"/>
        <v>30000</v>
      </c>
      <c r="M137" s="5">
        <v>1</v>
      </c>
      <c r="N137" s="6">
        <f t="shared" si="33"/>
        <v>150000</v>
      </c>
    </row>
    <row r="138" spans="1:14" x14ac:dyDescent="0.45">
      <c r="A138" s="10">
        <f t="shared" si="27"/>
        <v>137</v>
      </c>
      <c r="B138" s="5" t="s">
        <v>204</v>
      </c>
      <c r="C138" s="5" t="s">
        <v>354</v>
      </c>
      <c r="D138" s="5">
        <f t="shared" si="28"/>
        <v>0</v>
      </c>
      <c r="E138" s="5">
        <v>0</v>
      </c>
      <c r="F138" s="5">
        <f t="shared" si="29"/>
        <v>0</v>
      </c>
      <c r="G138" s="5">
        <v>0</v>
      </c>
      <c r="H138" s="5">
        <f t="shared" si="30"/>
        <v>0</v>
      </c>
      <c r="I138" s="5">
        <v>0</v>
      </c>
      <c r="J138" s="5">
        <f t="shared" si="31"/>
        <v>0</v>
      </c>
      <c r="K138" s="5">
        <v>0</v>
      </c>
      <c r="L138" s="5">
        <f t="shared" si="32"/>
        <v>0</v>
      </c>
      <c r="M138" s="5">
        <v>0</v>
      </c>
      <c r="N138" s="6">
        <f t="shared" si="33"/>
        <v>200000</v>
      </c>
    </row>
    <row r="139" spans="1:14" x14ac:dyDescent="0.45">
      <c r="A139" s="10">
        <f t="shared" si="27"/>
        <v>138</v>
      </c>
      <c r="B139" s="5" t="s">
        <v>205</v>
      </c>
      <c r="C139" s="5" t="s">
        <v>354</v>
      </c>
      <c r="D139" s="5">
        <f t="shared" si="28"/>
        <v>0</v>
      </c>
      <c r="E139" s="5">
        <v>0</v>
      </c>
      <c r="F139" s="5">
        <f t="shared" si="29"/>
        <v>0</v>
      </c>
      <c r="G139" s="5">
        <v>0</v>
      </c>
      <c r="H139" s="5">
        <f t="shared" si="30"/>
        <v>0</v>
      </c>
      <c r="I139" s="5">
        <v>0</v>
      </c>
      <c r="J139" s="5">
        <f t="shared" si="31"/>
        <v>20000</v>
      </c>
      <c r="K139" s="5">
        <v>1</v>
      </c>
      <c r="L139" s="5">
        <f t="shared" si="32"/>
        <v>0</v>
      </c>
      <c r="M139" s="5">
        <v>0</v>
      </c>
      <c r="N139" s="6">
        <f t="shared" si="33"/>
        <v>180000</v>
      </c>
    </row>
    <row r="140" spans="1:14" x14ac:dyDescent="0.45">
      <c r="A140" s="10">
        <f t="shared" si="27"/>
        <v>139</v>
      </c>
      <c r="B140" s="5" t="s">
        <v>206</v>
      </c>
      <c r="C140" s="5" t="s">
        <v>354</v>
      </c>
      <c r="D140" s="5">
        <f t="shared" si="28"/>
        <v>0</v>
      </c>
      <c r="E140" s="5">
        <v>0</v>
      </c>
      <c r="F140" s="5">
        <f t="shared" si="29"/>
        <v>0</v>
      </c>
      <c r="G140" s="5">
        <v>0</v>
      </c>
      <c r="H140" s="5">
        <f t="shared" si="30"/>
        <v>0</v>
      </c>
      <c r="I140" s="5">
        <v>0</v>
      </c>
      <c r="J140" s="5">
        <f t="shared" si="31"/>
        <v>0</v>
      </c>
      <c r="K140" s="5">
        <v>0</v>
      </c>
      <c r="L140" s="5">
        <f t="shared" si="32"/>
        <v>0</v>
      </c>
      <c r="M140" s="5">
        <v>0</v>
      </c>
      <c r="N140" s="6">
        <f t="shared" si="33"/>
        <v>200000</v>
      </c>
    </row>
    <row r="141" spans="1:14" x14ac:dyDescent="0.45">
      <c r="A141" s="10">
        <f t="shared" si="27"/>
        <v>140</v>
      </c>
      <c r="B141" s="5" t="s">
        <v>207</v>
      </c>
      <c r="C141" s="5" t="s">
        <v>354</v>
      </c>
      <c r="D141" s="5">
        <f t="shared" si="28"/>
        <v>0</v>
      </c>
      <c r="E141" s="5">
        <v>0</v>
      </c>
      <c r="F141" s="5">
        <f t="shared" si="29"/>
        <v>0</v>
      </c>
      <c r="G141" s="5">
        <v>0</v>
      </c>
      <c r="H141" s="5">
        <f t="shared" si="30"/>
        <v>20000</v>
      </c>
      <c r="I141" s="5">
        <v>1</v>
      </c>
      <c r="J141" s="5">
        <f t="shared" si="31"/>
        <v>0</v>
      </c>
      <c r="K141" s="5">
        <v>0</v>
      </c>
      <c r="L141" s="5">
        <f t="shared" si="32"/>
        <v>30000</v>
      </c>
      <c r="M141" s="5">
        <v>1</v>
      </c>
      <c r="N141" s="6">
        <f t="shared" si="33"/>
        <v>150000</v>
      </c>
    </row>
    <row r="142" spans="1:14" x14ac:dyDescent="0.45">
      <c r="A142" s="10">
        <f t="shared" si="27"/>
        <v>141</v>
      </c>
      <c r="B142" s="5" t="s">
        <v>208</v>
      </c>
      <c r="C142" s="5" t="s">
        <v>354</v>
      </c>
      <c r="D142" s="5">
        <f t="shared" si="28"/>
        <v>0</v>
      </c>
      <c r="E142" s="5">
        <v>0</v>
      </c>
      <c r="F142" s="5">
        <f t="shared" si="29"/>
        <v>0</v>
      </c>
      <c r="G142" s="5">
        <v>0</v>
      </c>
      <c r="H142" s="5">
        <f t="shared" si="30"/>
        <v>0</v>
      </c>
      <c r="I142" s="5">
        <v>0</v>
      </c>
      <c r="J142" s="5">
        <f t="shared" si="31"/>
        <v>0</v>
      </c>
      <c r="K142" s="5">
        <v>0</v>
      </c>
      <c r="L142" s="5">
        <f t="shared" si="32"/>
        <v>30000</v>
      </c>
      <c r="M142" s="5">
        <v>1</v>
      </c>
      <c r="N142" s="6">
        <f t="shared" si="33"/>
        <v>170000</v>
      </c>
    </row>
    <row r="143" spans="1:14" x14ac:dyDescent="0.45">
      <c r="A143" s="10">
        <f t="shared" si="27"/>
        <v>142</v>
      </c>
      <c r="B143" s="5" t="s">
        <v>209</v>
      </c>
      <c r="C143" s="5" t="s">
        <v>354</v>
      </c>
      <c r="D143" s="5">
        <f t="shared" si="28"/>
        <v>0</v>
      </c>
      <c r="E143" s="5">
        <v>0</v>
      </c>
      <c r="F143" s="5">
        <f t="shared" si="29"/>
        <v>0</v>
      </c>
      <c r="G143" s="5">
        <v>0</v>
      </c>
      <c r="H143" s="5">
        <f t="shared" si="30"/>
        <v>0</v>
      </c>
      <c r="I143" s="5">
        <v>0</v>
      </c>
      <c r="J143" s="5">
        <f t="shared" si="31"/>
        <v>0</v>
      </c>
      <c r="K143" s="5">
        <v>0</v>
      </c>
      <c r="L143" s="5">
        <f t="shared" si="32"/>
        <v>30000</v>
      </c>
      <c r="M143" s="5">
        <v>1</v>
      </c>
      <c r="N143" s="6">
        <f t="shared" si="33"/>
        <v>170000</v>
      </c>
    </row>
    <row r="144" spans="1:14" x14ac:dyDescent="0.45">
      <c r="A144" s="10">
        <f t="shared" si="27"/>
        <v>143</v>
      </c>
      <c r="B144" s="5" t="s">
        <v>210</v>
      </c>
      <c r="C144" s="5" t="s">
        <v>354</v>
      </c>
      <c r="D144" s="5">
        <f t="shared" si="28"/>
        <v>0</v>
      </c>
      <c r="E144" s="5">
        <v>0</v>
      </c>
      <c r="F144" s="5">
        <f t="shared" si="29"/>
        <v>0</v>
      </c>
      <c r="G144" s="5">
        <v>0</v>
      </c>
      <c r="H144" s="5">
        <f t="shared" si="30"/>
        <v>0</v>
      </c>
      <c r="I144" s="5">
        <v>0</v>
      </c>
      <c r="J144" s="5">
        <f t="shared" si="31"/>
        <v>0</v>
      </c>
      <c r="K144" s="5">
        <v>0</v>
      </c>
      <c r="L144" s="5">
        <f t="shared" si="32"/>
        <v>0</v>
      </c>
      <c r="M144" s="5">
        <v>0</v>
      </c>
      <c r="N144" s="6">
        <f t="shared" si="33"/>
        <v>200000</v>
      </c>
    </row>
    <row r="145" spans="1:14" x14ac:dyDescent="0.45">
      <c r="A145" s="10">
        <f t="shared" si="27"/>
        <v>144</v>
      </c>
      <c r="B145" s="5" t="s">
        <v>211</v>
      </c>
      <c r="C145" s="5" t="s">
        <v>354</v>
      </c>
      <c r="D145" s="5">
        <f t="shared" si="28"/>
        <v>0</v>
      </c>
      <c r="E145" s="5">
        <v>0</v>
      </c>
      <c r="F145" s="5">
        <f t="shared" si="29"/>
        <v>0</v>
      </c>
      <c r="G145" s="5">
        <v>0</v>
      </c>
      <c r="H145" s="5">
        <f t="shared" si="30"/>
        <v>0</v>
      </c>
      <c r="I145" s="5">
        <v>0</v>
      </c>
      <c r="J145" s="5">
        <f t="shared" si="31"/>
        <v>0</v>
      </c>
      <c r="K145" s="5">
        <v>0</v>
      </c>
      <c r="L145" s="5">
        <f t="shared" si="32"/>
        <v>30000</v>
      </c>
      <c r="M145" s="5">
        <v>1</v>
      </c>
      <c r="N145" s="6">
        <f t="shared" si="33"/>
        <v>170000</v>
      </c>
    </row>
    <row r="146" spans="1:14" x14ac:dyDescent="0.45">
      <c r="A146" s="10">
        <f t="shared" si="27"/>
        <v>145</v>
      </c>
      <c r="B146" s="5" t="s">
        <v>212</v>
      </c>
      <c r="C146" s="5" t="s">
        <v>354</v>
      </c>
      <c r="D146" s="5">
        <f t="shared" si="28"/>
        <v>0</v>
      </c>
      <c r="E146" s="5">
        <v>0</v>
      </c>
      <c r="F146" s="5">
        <f t="shared" si="29"/>
        <v>0</v>
      </c>
      <c r="G146" s="5">
        <v>0</v>
      </c>
      <c r="H146" s="5">
        <f t="shared" si="30"/>
        <v>0</v>
      </c>
      <c r="I146" s="5">
        <v>0</v>
      </c>
      <c r="J146" s="5">
        <f t="shared" si="31"/>
        <v>0</v>
      </c>
      <c r="K146" s="5">
        <v>0</v>
      </c>
      <c r="L146" s="5">
        <f t="shared" si="32"/>
        <v>30000</v>
      </c>
      <c r="M146" s="5">
        <v>1</v>
      </c>
      <c r="N146" s="6">
        <f t="shared" si="33"/>
        <v>170000</v>
      </c>
    </row>
    <row r="147" spans="1:14" x14ac:dyDescent="0.45">
      <c r="A147" s="10">
        <f t="shared" si="27"/>
        <v>146</v>
      </c>
      <c r="B147" s="5" t="s">
        <v>213</v>
      </c>
      <c r="C147" s="5" t="s">
        <v>354</v>
      </c>
      <c r="D147" s="5">
        <f t="shared" si="28"/>
        <v>0</v>
      </c>
      <c r="E147" s="5">
        <v>0</v>
      </c>
      <c r="F147" s="5">
        <f t="shared" si="29"/>
        <v>0</v>
      </c>
      <c r="G147" s="5">
        <v>0</v>
      </c>
      <c r="H147" s="5">
        <f t="shared" si="30"/>
        <v>0</v>
      </c>
      <c r="I147" s="5">
        <v>0</v>
      </c>
      <c r="J147" s="5">
        <f t="shared" si="31"/>
        <v>0</v>
      </c>
      <c r="K147" s="5">
        <v>0</v>
      </c>
      <c r="L147" s="5">
        <f t="shared" si="32"/>
        <v>30000</v>
      </c>
      <c r="M147" s="5">
        <v>1</v>
      </c>
      <c r="N147" s="6">
        <f t="shared" si="33"/>
        <v>170000</v>
      </c>
    </row>
    <row r="148" spans="1:14" x14ac:dyDescent="0.45">
      <c r="A148" s="10">
        <f t="shared" si="27"/>
        <v>147</v>
      </c>
      <c r="B148" s="5" t="s">
        <v>214</v>
      </c>
      <c r="C148" s="5" t="s">
        <v>354</v>
      </c>
      <c r="D148" s="5">
        <f t="shared" si="28"/>
        <v>0</v>
      </c>
      <c r="E148" s="5">
        <v>0</v>
      </c>
      <c r="F148" s="5">
        <f t="shared" si="29"/>
        <v>0</v>
      </c>
      <c r="G148" s="5">
        <v>0</v>
      </c>
      <c r="H148" s="5">
        <f t="shared" si="30"/>
        <v>0</v>
      </c>
      <c r="I148" s="5">
        <v>0</v>
      </c>
      <c r="J148" s="5">
        <f t="shared" si="31"/>
        <v>0</v>
      </c>
      <c r="K148" s="5">
        <v>0</v>
      </c>
      <c r="L148" s="5">
        <f t="shared" si="32"/>
        <v>0</v>
      </c>
      <c r="M148" s="5">
        <v>0</v>
      </c>
      <c r="N148" s="6">
        <f t="shared" si="33"/>
        <v>200000</v>
      </c>
    </row>
    <row r="149" spans="1:14" x14ac:dyDescent="0.45">
      <c r="A149" s="10">
        <f t="shared" si="27"/>
        <v>148</v>
      </c>
      <c r="B149" s="5" t="s">
        <v>215</v>
      </c>
      <c r="C149" s="5" t="s">
        <v>354</v>
      </c>
      <c r="D149" s="5">
        <f t="shared" si="28"/>
        <v>0</v>
      </c>
      <c r="E149" s="5">
        <v>0</v>
      </c>
      <c r="F149" s="5">
        <f t="shared" si="29"/>
        <v>0</v>
      </c>
      <c r="G149" s="5">
        <v>0</v>
      </c>
      <c r="H149" s="5">
        <f t="shared" si="30"/>
        <v>0</v>
      </c>
      <c r="I149" s="5">
        <v>0</v>
      </c>
      <c r="J149" s="5">
        <f t="shared" si="31"/>
        <v>0</v>
      </c>
      <c r="K149" s="5">
        <v>0</v>
      </c>
      <c r="L149" s="5">
        <f t="shared" si="32"/>
        <v>30000</v>
      </c>
      <c r="M149" s="5">
        <v>1</v>
      </c>
      <c r="N149" s="6">
        <f t="shared" si="33"/>
        <v>170000</v>
      </c>
    </row>
    <row r="150" spans="1:14" x14ac:dyDescent="0.45">
      <c r="A150" s="10">
        <f t="shared" si="27"/>
        <v>149</v>
      </c>
      <c r="B150" s="5" t="s">
        <v>216</v>
      </c>
      <c r="C150" s="5" t="s">
        <v>354</v>
      </c>
      <c r="D150" s="5">
        <f t="shared" si="28"/>
        <v>0</v>
      </c>
      <c r="E150" s="5">
        <v>0</v>
      </c>
      <c r="F150" s="5">
        <f t="shared" si="29"/>
        <v>100000</v>
      </c>
      <c r="G150" s="5">
        <v>1</v>
      </c>
      <c r="H150" s="5">
        <f t="shared" si="30"/>
        <v>20000</v>
      </c>
      <c r="I150" s="5">
        <v>1</v>
      </c>
      <c r="J150" s="5">
        <f t="shared" si="31"/>
        <v>0</v>
      </c>
      <c r="K150" s="5">
        <v>0</v>
      </c>
      <c r="L150" s="5">
        <f t="shared" si="32"/>
        <v>30000</v>
      </c>
      <c r="M150" s="5">
        <v>1</v>
      </c>
      <c r="N150" s="6">
        <f t="shared" si="33"/>
        <v>50000</v>
      </c>
    </row>
    <row r="151" spans="1:14" x14ac:dyDescent="0.45">
      <c r="A151" s="10">
        <f>ROW(A151)-1</f>
        <v>150</v>
      </c>
      <c r="B151" s="5" t="s">
        <v>217</v>
      </c>
      <c r="C151" s="5" t="s">
        <v>354</v>
      </c>
      <c r="D151" s="5">
        <f>E151*5000</f>
        <v>0</v>
      </c>
      <c r="E151" s="5">
        <v>0</v>
      </c>
      <c r="F151" s="5">
        <f>G151*100000</f>
        <v>0</v>
      </c>
      <c r="G151" s="5">
        <v>0</v>
      </c>
      <c r="H151" s="5">
        <f>I151*20000</f>
        <v>0</v>
      </c>
      <c r="I151" s="5">
        <v>0</v>
      </c>
      <c r="J151" s="5">
        <f>K151*20000</f>
        <v>0</v>
      </c>
      <c r="K151" s="5">
        <v>0</v>
      </c>
      <c r="L151" s="5">
        <f>M151*30000</f>
        <v>30000</v>
      </c>
      <c r="M151" s="5">
        <v>1</v>
      </c>
      <c r="N151" s="6">
        <f>200000-L151-J151-H151-F151-D151</f>
        <v>170000</v>
      </c>
    </row>
    <row r="152" spans="1:14" x14ac:dyDescent="0.45">
      <c r="A152" s="10">
        <f t="shared" ref="A152:A181" si="34">ROW(A152)-1</f>
        <v>151</v>
      </c>
      <c r="B152" s="5" t="s">
        <v>218</v>
      </c>
      <c r="C152" s="5" t="s">
        <v>354</v>
      </c>
      <c r="D152" s="5">
        <f t="shared" ref="D152:D181" si="35">E152*5000</f>
        <v>0</v>
      </c>
      <c r="E152" s="5">
        <v>0</v>
      </c>
      <c r="F152" s="5">
        <f t="shared" ref="F152:F181" si="36">G152*100000</f>
        <v>0</v>
      </c>
      <c r="G152" s="5">
        <v>0</v>
      </c>
      <c r="H152" s="5">
        <f t="shared" ref="H152:H181" si="37">I152*20000</f>
        <v>0</v>
      </c>
      <c r="I152" s="5">
        <v>0</v>
      </c>
      <c r="J152" s="5">
        <f t="shared" ref="J152:J181" si="38">K152*20000</f>
        <v>40000</v>
      </c>
      <c r="K152" s="5">
        <v>2</v>
      </c>
      <c r="L152" s="5">
        <f t="shared" ref="L152:L181" si="39">M152*30000</f>
        <v>0</v>
      </c>
      <c r="M152" s="5">
        <v>0</v>
      </c>
      <c r="N152" s="6">
        <f t="shared" ref="N152:N181" si="40">200000-L152-J152-H152-F152-D152</f>
        <v>160000</v>
      </c>
    </row>
    <row r="153" spans="1:14" x14ac:dyDescent="0.45">
      <c r="A153" s="10">
        <f t="shared" si="34"/>
        <v>152</v>
      </c>
      <c r="B153" s="5" t="s">
        <v>219</v>
      </c>
      <c r="C153" s="5" t="s">
        <v>354</v>
      </c>
      <c r="D153" s="5">
        <f t="shared" si="35"/>
        <v>0</v>
      </c>
      <c r="E153" s="5">
        <v>0</v>
      </c>
      <c r="F153" s="5">
        <f t="shared" si="36"/>
        <v>0</v>
      </c>
      <c r="G153" s="5">
        <v>0</v>
      </c>
      <c r="H153" s="5">
        <f t="shared" si="37"/>
        <v>20000</v>
      </c>
      <c r="I153" s="5">
        <v>1</v>
      </c>
      <c r="J153" s="5">
        <f t="shared" si="38"/>
        <v>0</v>
      </c>
      <c r="K153" s="5">
        <v>0</v>
      </c>
      <c r="L153" s="5">
        <f t="shared" si="39"/>
        <v>0</v>
      </c>
      <c r="M153" s="5">
        <v>0</v>
      </c>
      <c r="N153" s="6">
        <f t="shared" si="40"/>
        <v>180000</v>
      </c>
    </row>
    <row r="154" spans="1:14" x14ac:dyDescent="0.45">
      <c r="A154" s="10">
        <f t="shared" si="34"/>
        <v>153</v>
      </c>
      <c r="B154" s="5" t="s">
        <v>220</v>
      </c>
      <c r="C154" s="5" t="s">
        <v>354</v>
      </c>
      <c r="D154" s="5">
        <f t="shared" si="35"/>
        <v>0</v>
      </c>
      <c r="E154" s="5">
        <v>0</v>
      </c>
      <c r="F154" s="5">
        <f t="shared" si="36"/>
        <v>0</v>
      </c>
      <c r="G154" s="5">
        <v>0</v>
      </c>
      <c r="H154" s="5">
        <f t="shared" si="37"/>
        <v>0</v>
      </c>
      <c r="I154" s="5">
        <v>0</v>
      </c>
      <c r="J154" s="5">
        <f t="shared" si="38"/>
        <v>0</v>
      </c>
      <c r="K154" s="5">
        <v>0</v>
      </c>
      <c r="L154" s="5">
        <f t="shared" si="39"/>
        <v>0</v>
      </c>
      <c r="M154" s="5">
        <v>0</v>
      </c>
      <c r="N154" s="6">
        <f t="shared" si="40"/>
        <v>200000</v>
      </c>
    </row>
    <row r="155" spans="1:14" x14ac:dyDescent="0.45">
      <c r="A155" s="10">
        <f t="shared" si="34"/>
        <v>154</v>
      </c>
      <c r="B155" s="5" t="s">
        <v>221</v>
      </c>
      <c r="C155" s="5" t="s">
        <v>354</v>
      </c>
      <c r="D155" s="5">
        <f t="shared" si="35"/>
        <v>0</v>
      </c>
      <c r="E155" s="5">
        <v>0</v>
      </c>
      <c r="F155" s="5">
        <f t="shared" si="36"/>
        <v>0</v>
      </c>
      <c r="G155" s="5">
        <v>0</v>
      </c>
      <c r="H155" s="5">
        <f t="shared" si="37"/>
        <v>40000</v>
      </c>
      <c r="I155" s="5">
        <v>2</v>
      </c>
      <c r="J155" s="5">
        <f t="shared" si="38"/>
        <v>20000</v>
      </c>
      <c r="K155" s="5">
        <v>1</v>
      </c>
      <c r="L155" s="5">
        <f t="shared" si="39"/>
        <v>0</v>
      </c>
      <c r="M155" s="5">
        <v>0</v>
      </c>
      <c r="N155" s="6">
        <f t="shared" si="40"/>
        <v>140000</v>
      </c>
    </row>
    <row r="156" spans="1:14" x14ac:dyDescent="0.45">
      <c r="A156" s="10">
        <f t="shared" si="34"/>
        <v>155</v>
      </c>
      <c r="B156" s="5" t="s">
        <v>222</v>
      </c>
      <c r="C156" s="5" t="s">
        <v>354</v>
      </c>
      <c r="D156" s="5">
        <f t="shared" si="35"/>
        <v>0</v>
      </c>
      <c r="E156" s="5">
        <v>0</v>
      </c>
      <c r="F156" s="5">
        <f t="shared" si="36"/>
        <v>0</v>
      </c>
      <c r="G156" s="5">
        <v>0</v>
      </c>
      <c r="H156" s="5">
        <f t="shared" si="37"/>
        <v>0</v>
      </c>
      <c r="I156" s="5">
        <v>0</v>
      </c>
      <c r="J156" s="5">
        <f t="shared" si="38"/>
        <v>0</v>
      </c>
      <c r="K156" s="5">
        <v>0</v>
      </c>
      <c r="L156" s="5">
        <f t="shared" si="39"/>
        <v>0</v>
      </c>
      <c r="M156" s="5">
        <v>0</v>
      </c>
      <c r="N156" s="6">
        <f t="shared" si="40"/>
        <v>200000</v>
      </c>
    </row>
    <row r="157" spans="1:14" x14ac:dyDescent="0.45">
      <c r="A157" s="10">
        <f t="shared" si="34"/>
        <v>156</v>
      </c>
      <c r="B157" s="5" t="s">
        <v>223</v>
      </c>
      <c r="C157" s="5" t="s">
        <v>354</v>
      </c>
      <c r="D157" s="5">
        <f t="shared" si="35"/>
        <v>0</v>
      </c>
      <c r="E157" s="5">
        <v>0</v>
      </c>
      <c r="F157" s="5">
        <f t="shared" si="36"/>
        <v>0</v>
      </c>
      <c r="G157" s="5">
        <v>0</v>
      </c>
      <c r="H157" s="5">
        <f t="shared" si="37"/>
        <v>0</v>
      </c>
      <c r="I157" s="5">
        <v>0</v>
      </c>
      <c r="J157" s="5">
        <f t="shared" si="38"/>
        <v>40000</v>
      </c>
      <c r="K157" s="5">
        <v>2</v>
      </c>
      <c r="L157" s="5">
        <f t="shared" si="39"/>
        <v>60000</v>
      </c>
      <c r="M157" s="5">
        <v>2</v>
      </c>
      <c r="N157" s="6">
        <f t="shared" si="40"/>
        <v>100000</v>
      </c>
    </row>
    <row r="158" spans="1:14" x14ac:dyDescent="0.45">
      <c r="A158" s="10">
        <f t="shared" si="34"/>
        <v>157</v>
      </c>
      <c r="B158" s="5" t="s">
        <v>224</v>
      </c>
      <c r="C158" s="5" t="s">
        <v>354</v>
      </c>
      <c r="D158" s="5">
        <f t="shared" si="35"/>
        <v>0</v>
      </c>
      <c r="E158" s="5">
        <v>0</v>
      </c>
      <c r="F158" s="5">
        <f t="shared" si="36"/>
        <v>0</v>
      </c>
      <c r="G158" s="5">
        <v>0</v>
      </c>
      <c r="H158" s="5">
        <f t="shared" si="37"/>
        <v>0</v>
      </c>
      <c r="I158" s="5">
        <v>0</v>
      </c>
      <c r="J158" s="5">
        <f t="shared" si="38"/>
        <v>40000</v>
      </c>
      <c r="K158" s="5">
        <v>2</v>
      </c>
      <c r="L158" s="5">
        <f t="shared" si="39"/>
        <v>90000</v>
      </c>
      <c r="M158" s="5">
        <v>3</v>
      </c>
      <c r="N158" s="6">
        <f t="shared" si="40"/>
        <v>70000</v>
      </c>
    </row>
    <row r="159" spans="1:14" x14ac:dyDescent="0.45">
      <c r="A159" s="10">
        <f t="shared" si="34"/>
        <v>158</v>
      </c>
      <c r="B159" s="5" t="s">
        <v>225</v>
      </c>
      <c r="C159" s="5" t="s">
        <v>354</v>
      </c>
      <c r="D159" s="5">
        <f t="shared" si="35"/>
        <v>0</v>
      </c>
      <c r="E159" s="5">
        <v>0</v>
      </c>
      <c r="F159" s="5">
        <f t="shared" si="36"/>
        <v>0</v>
      </c>
      <c r="G159" s="5">
        <v>0</v>
      </c>
      <c r="H159" s="5">
        <f t="shared" si="37"/>
        <v>40000</v>
      </c>
      <c r="I159" s="5">
        <v>2</v>
      </c>
      <c r="J159" s="5">
        <f t="shared" si="38"/>
        <v>20000</v>
      </c>
      <c r="K159" s="5">
        <v>1</v>
      </c>
      <c r="L159" s="5">
        <f t="shared" si="39"/>
        <v>0</v>
      </c>
      <c r="M159" s="5">
        <v>0</v>
      </c>
      <c r="N159" s="6">
        <f t="shared" si="40"/>
        <v>140000</v>
      </c>
    </row>
    <row r="160" spans="1:14" x14ac:dyDescent="0.45">
      <c r="A160" s="10">
        <f t="shared" si="34"/>
        <v>159</v>
      </c>
      <c r="B160" s="5" t="s">
        <v>226</v>
      </c>
      <c r="C160" s="5" t="s">
        <v>354</v>
      </c>
      <c r="D160" s="5">
        <f t="shared" si="35"/>
        <v>0</v>
      </c>
      <c r="E160" s="5">
        <v>0</v>
      </c>
      <c r="F160" s="5">
        <f t="shared" si="36"/>
        <v>0</v>
      </c>
      <c r="G160" s="5">
        <v>0</v>
      </c>
      <c r="H160" s="5">
        <f t="shared" si="37"/>
        <v>0</v>
      </c>
      <c r="I160" s="5">
        <v>0</v>
      </c>
      <c r="J160" s="5">
        <f t="shared" si="38"/>
        <v>0</v>
      </c>
      <c r="K160" s="5">
        <v>0</v>
      </c>
      <c r="L160" s="5">
        <f t="shared" si="39"/>
        <v>0</v>
      </c>
      <c r="M160" s="5">
        <v>0</v>
      </c>
      <c r="N160" s="6">
        <f t="shared" si="40"/>
        <v>200000</v>
      </c>
    </row>
    <row r="161" spans="1:14" x14ac:dyDescent="0.45">
      <c r="A161" s="10">
        <f t="shared" si="34"/>
        <v>160</v>
      </c>
      <c r="B161" s="5" t="s">
        <v>227</v>
      </c>
      <c r="C161" s="5" t="s">
        <v>354</v>
      </c>
      <c r="D161" s="5">
        <f t="shared" si="35"/>
        <v>0</v>
      </c>
      <c r="E161" s="5">
        <v>0</v>
      </c>
      <c r="F161" s="5">
        <f t="shared" si="36"/>
        <v>0</v>
      </c>
      <c r="G161" s="5">
        <v>0</v>
      </c>
      <c r="H161" s="5">
        <f t="shared" si="37"/>
        <v>40000</v>
      </c>
      <c r="I161" s="5">
        <v>2</v>
      </c>
      <c r="J161" s="5">
        <f t="shared" si="38"/>
        <v>20000</v>
      </c>
      <c r="K161" s="5">
        <v>1</v>
      </c>
      <c r="L161" s="5">
        <f t="shared" si="39"/>
        <v>30000</v>
      </c>
      <c r="M161" s="5">
        <v>1</v>
      </c>
      <c r="N161" s="6">
        <f t="shared" si="40"/>
        <v>110000</v>
      </c>
    </row>
    <row r="162" spans="1:14" x14ac:dyDescent="0.45">
      <c r="A162" s="10">
        <f t="shared" si="34"/>
        <v>161</v>
      </c>
      <c r="B162" s="5" t="s">
        <v>228</v>
      </c>
      <c r="C162" s="5" t="s">
        <v>354</v>
      </c>
      <c r="D162" s="5">
        <f t="shared" si="35"/>
        <v>0</v>
      </c>
      <c r="E162" s="5">
        <v>0</v>
      </c>
      <c r="F162" s="5">
        <f t="shared" si="36"/>
        <v>0</v>
      </c>
      <c r="G162" s="5">
        <v>0</v>
      </c>
      <c r="H162" s="5">
        <f t="shared" si="37"/>
        <v>20000</v>
      </c>
      <c r="I162" s="5">
        <v>1</v>
      </c>
      <c r="J162" s="5">
        <f t="shared" si="38"/>
        <v>80000</v>
      </c>
      <c r="K162" s="5">
        <v>4</v>
      </c>
      <c r="L162" s="5">
        <f t="shared" si="39"/>
        <v>30000</v>
      </c>
      <c r="M162" s="5">
        <v>1</v>
      </c>
      <c r="N162" s="6">
        <f t="shared" si="40"/>
        <v>70000</v>
      </c>
    </row>
    <row r="163" spans="1:14" x14ac:dyDescent="0.45">
      <c r="A163" s="10">
        <f t="shared" si="34"/>
        <v>162</v>
      </c>
      <c r="B163" s="5" t="s">
        <v>229</v>
      </c>
      <c r="C163" s="5" t="s">
        <v>354</v>
      </c>
      <c r="D163" s="5">
        <f t="shared" si="35"/>
        <v>0</v>
      </c>
      <c r="E163" s="5">
        <v>0</v>
      </c>
      <c r="F163" s="5">
        <f t="shared" si="36"/>
        <v>0</v>
      </c>
      <c r="G163" s="5">
        <v>0</v>
      </c>
      <c r="H163" s="5">
        <f t="shared" si="37"/>
        <v>0</v>
      </c>
      <c r="I163" s="5">
        <v>0</v>
      </c>
      <c r="J163" s="5">
        <f t="shared" si="38"/>
        <v>40000</v>
      </c>
      <c r="K163" s="5">
        <v>2</v>
      </c>
      <c r="L163" s="5">
        <f t="shared" si="39"/>
        <v>90000</v>
      </c>
      <c r="M163" s="5">
        <v>3</v>
      </c>
      <c r="N163" s="6">
        <f t="shared" si="40"/>
        <v>70000</v>
      </c>
    </row>
    <row r="164" spans="1:14" x14ac:dyDescent="0.45">
      <c r="A164" s="10">
        <f t="shared" si="34"/>
        <v>163</v>
      </c>
      <c r="B164" s="5" t="s">
        <v>230</v>
      </c>
      <c r="C164" s="5" t="s">
        <v>354</v>
      </c>
      <c r="D164" s="5">
        <f t="shared" si="35"/>
        <v>0</v>
      </c>
      <c r="E164" s="5">
        <v>0</v>
      </c>
      <c r="F164" s="5">
        <f t="shared" si="36"/>
        <v>0</v>
      </c>
      <c r="G164" s="5">
        <v>0</v>
      </c>
      <c r="H164" s="5">
        <f t="shared" si="37"/>
        <v>0</v>
      </c>
      <c r="I164" s="5">
        <v>0</v>
      </c>
      <c r="J164" s="5">
        <f t="shared" si="38"/>
        <v>40000</v>
      </c>
      <c r="K164" s="5">
        <v>2</v>
      </c>
      <c r="L164" s="5">
        <f t="shared" si="39"/>
        <v>0</v>
      </c>
      <c r="M164" s="5">
        <v>0</v>
      </c>
      <c r="N164" s="6">
        <f t="shared" si="40"/>
        <v>160000</v>
      </c>
    </row>
    <row r="165" spans="1:14" x14ac:dyDescent="0.45">
      <c r="A165" s="10">
        <f t="shared" si="34"/>
        <v>164</v>
      </c>
      <c r="B165" s="5" t="s">
        <v>231</v>
      </c>
      <c r="C165" s="5" t="s">
        <v>354</v>
      </c>
      <c r="D165" s="5">
        <f t="shared" si="35"/>
        <v>0</v>
      </c>
      <c r="E165" s="5">
        <v>0</v>
      </c>
      <c r="F165" s="5">
        <f t="shared" si="36"/>
        <v>0</v>
      </c>
      <c r="G165" s="5">
        <v>0</v>
      </c>
      <c r="H165" s="5">
        <f t="shared" si="37"/>
        <v>0</v>
      </c>
      <c r="I165" s="5">
        <v>0</v>
      </c>
      <c r="J165" s="5">
        <f t="shared" si="38"/>
        <v>0</v>
      </c>
      <c r="K165" s="5">
        <v>0</v>
      </c>
      <c r="L165" s="5">
        <f t="shared" si="39"/>
        <v>30000</v>
      </c>
      <c r="M165" s="5">
        <v>1</v>
      </c>
      <c r="N165" s="6">
        <f t="shared" si="40"/>
        <v>170000</v>
      </c>
    </row>
    <row r="166" spans="1:14" x14ac:dyDescent="0.45">
      <c r="A166" s="10">
        <f t="shared" si="34"/>
        <v>165</v>
      </c>
      <c r="B166" s="5" t="s">
        <v>232</v>
      </c>
      <c r="C166" s="5" t="s">
        <v>354</v>
      </c>
      <c r="D166" s="5">
        <f t="shared" si="35"/>
        <v>0</v>
      </c>
      <c r="E166" s="5">
        <v>0</v>
      </c>
      <c r="F166" s="5">
        <f t="shared" si="36"/>
        <v>0</v>
      </c>
      <c r="G166" s="5">
        <v>0</v>
      </c>
      <c r="H166" s="5">
        <f t="shared" si="37"/>
        <v>0</v>
      </c>
      <c r="I166" s="5">
        <v>0</v>
      </c>
      <c r="J166" s="5">
        <f t="shared" si="38"/>
        <v>0</v>
      </c>
      <c r="K166" s="5">
        <v>0</v>
      </c>
      <c r="L166" s="5">
        <f t="shared" si="39"/>
        <v>0</v>
      </c>
      <c r="M166" s="5">
        <v>0</v>
      </c>
      <c r="N166" s="6">
        <f t="shared" si="40"/>
        <v>200000</v>
      </c>
    </row>
    <row r="167" spans="1:14" x14ac:dyDescent="0.45">
      <c r="A167" s="10">
        <f t="shared" si="34"/>
        <v>166</v>
      </c>
      <c r="B167" s="5" t="s">
        <v>233</v>
      </c>
      <c r="C167" s="5" t="s">
        <v>354</v>
      </c>
      <c r="D167" s="5">
        <f t="shared" si="35"/>
        <v>0</v>
      </c>
      <c r="E167" s="5">
        <v>0</v>
      </c>
      <c r="F167" s="5">
        <f t="shared" si="36"/>
        <v>0</v>
      </c>
      <c r="G167" s="5">
        <v>0</v>
      </c>
      <c r="H167" s="5">
        <f t="shared" si="37"/>
        <v>20000</v>
      </c>
      <c r="I167" s="5">
        <v>1</v>
      </c>
      <c r="J167" s="5">
        <f t="shared" si="38"/>
        <v>0</v>
      </c>
      <c r="K167" s="5">
        <v>0</v>
      </c>
      <c r="L167" s="5">
        <f t="shared" si="39"/>
        <v>0</v>
      </c>
      <c r="M167" s="5">
        <v>0</v>
      </c>
      <c r="N167" s="6">
        <f t="shared" si="40"/>
        <v>180000</v>
      </c>
    </row>
    <row r="168" spans="1:14" x14ac:dyDescent="0.45">
      <c r="A168" s="10">
        <f t="shared" si="34"/>
        <v>167</v>
      </c>
      <c r="B168" s="5" t="s">
        <v>234</v>
      </c>
      <c r="C168" s="5" t="s">
        <v>354</v>
      </c>
      <c r="D168" s="5">
        <f t="shared" si="35"/>
        <v>0</v>
      </c>
      <c r="E168" s="5">
        <v>0</v>
      </c>
      <c r="F168" s="5">
        <f t="shared" si="36"/>
        <v>0</v>
      </c>
      <c r="G168" s="5">
        <v>0</v>
      </c>
      <c r="H168" s="5">
        <f t="shared" si="37"/>
        <v>20000</v>
      </c>
      <c r="I168" s="5">
        <v>1</v>
      </c>
      <c r="J168" s="5">
        <f t="shared" si="38"/>
        <v>60000</v>
      </c>
      <c r="K168" s="5">
        <v>3</v>
      </c>
      <c r="L168" s="5">
        <f t="shared" si="39"/>
        <v>0</v>
      </c>
      <c r="M168" s="5">
        <v>0</v>
      </c>
      <c r="N168" s="6">
        <f t="shared" si="40"/>
        <v>120000</v>
      </c>
    </row>
    <row r="169" spans="1:14" x14ac:dyDescent="0.45">
      <c r="A169" s="10">
        <f t="shared" si="34"/>
        <v>168</v>
      </c>
      <c r="B169" s="5" t="s">
        <v>235</v>
      </c>
      <c r="C169" s="5" t="s">
        <v>354</v>
      </c>
      <c r="D169" s="5">
        <f t="shared" si="35"/>
        <v>0</v>
      </c>
      <c r="E169" s="5">
        <v>0</v>
      </c>
      <c r="F169" s="5">
        <f t="shared" si="36"/>
        <v>0</v>
      </c>
      <c r="G169" s="5">
        <v>0</v>
      </c>
      <c r="H169" s="5">
        <f t="shared" si="37"/>
        <v>0</v>
      </c>
      <c r="I169" s="5">
        <v>0</v>
      </c>
      <c r="J169" s="5">
        <f t="shared" si="38"/>
        <v>0</v>
      </c>
      <c r="K169" s="5">
        <v>0</v>
      </c>
      <c r="L169" s="5">
        <f t="shared" si="39"/>
        <v>90000</v>
      </c>
      <c r="M169" s="5">
        <v>3</v>
      </c>
      <c r="N169" s="6">
        <f t="shared" si="40"/>
        <v>110000</v>
      </c>
    </row>
    <row r="170" spans="1:14" x14ac:dyDescent="0.45">
      <c r="A170" s="10">
        <f t="shared" si="34"/>
        <v>169</v>
      </c>
      <c r="B170" s="5" t="s">
        <v>236</v>
      </c>
      <c r="C170" s="5" t="s">
        <v>354</v>
      </c>
      <c r="D170" s="5">
        <f t="shared" si="35"/>
        <v>0</v>
      </c>
      <c r="E170" s="5">
        <v>0</v>
      </c>
      <c r="F170" s="5">
        <f t="shared" si="36"/>
        <v>0</v>
      </c>
      <c r="G170" s="5">
        <v>0</v>
      </c>
      <c r="H170" s="5">
        <f t="shared" si="37"/>
        <v>0</v>
      </c>
      <c r="I170" s="5">
        <v>0</v>
      </c>
      <c r="J170" s="5">
        <f t="shared" si="38"/>
        <v>20000</v>
      </c>
      <c r="K170" s="5">
        <v>1</v>
      </c>
      <c r="L170" s="5">
        <f t="shared" si="39"/>
        <v>60000</v>
      </c>
      <c r="M170" s="5">
        <v>2</v>
      </c>
      <c r="N170" s="6">
        <f t="shared" si="40"/>
        <v>120000</v>
      </c>
    </row>
    <row r="171" spans="1:14" x14ac:dyDescent="0.45">
      <c r="A171" s="10">
        <f t="shared" si="34"/>
        <v>170</v>
      </c>
      <c r="B171" s="5" t="s">
        <v>237</v>
      </c>
      <c r="C171" s="5" t="s">
        <v>354</v>
      </c>
      <c r="D171" s="5">
        <f t="shared" si="35"/>
        <v>0</v>
      </c>
      <c r="E171" s="5">
        <v>0</v>
      </c>
      <c r="F171" s="5">
        <f t="shared" si="36"/>
        <v>0</v>
      </c>
      <c r="G171" s="5">
        <v>0</v>
      </c>
      <c r="H171" s="5">
        <f t="shared" si="37"/>
        <v>0</v>
      </c>
      <c r="I171" s="5">
        <v>0</v>
      </c>
      <c r="J171" s="5">
        <f t="shared" si="38"/>
        <v>0</v>
      </c>
      <c r="K171" s="5">
        <v>0</v>
      </c>
      <c r="L171" s="5">
        <f t="shared" si="39"/>
        <v>0</v>
      </c>
      <c r="M171" s="5">
        <v>0</v>
      </c>
      <c r="N171" s="6">
        <f t="shared" si="40"/>
        <v>200000</v>
      </c>
    </row>
    <row r="172" spans="1:14" x14ac:dyDescent="0.45">
      <c r="A172" s="10">
        <f t="shared" si="34"/>
        <v>171</v>
      </c>
      <c r="B172" s="5" t="s">
        <v>238</v>
      </c>
      <c r="C172" s="5" t="s">
        <v>354</v>
      </c>
      <c r="D172" s="5">
        <f t="shared" si="35"/>
        <v>0</v>
      </c>
      <c r="E172" s="5">
        <v>0</v>
      </c>
      <c r="F172" s="5">
        <f t="shared" si="36"/>
        <v>0</v>
      </c>
      <c r="G172" s="5">
        <v>0</v>
      </c>
      <c r="H172" s="5">
        <f t="shared" si="37"/>
        <v>0</v>
      </c>
      <c r="I172" s="5">
        <v>0</v>
      </c>
      <c r="J172" s="5">
        <f t="shared" si="38"/>
        <v>0</v>
      </c>
      <c r="K172" s="5">
        <v>0</v>
      </c>
      <c r="L172" s="5">
        <f t="shared" si="39"/>
        <v>60000</v>
      </c>
      <c r="M172" s="5">
        <v>2</v>
      </c>
      <c r="N172" s="6">
        <f t="shared" si="40"/>
        <v>140000</v>
      </c>
    </row>
    <row r="173" spans="1:14" x14ac:dyDescent="0.45">
      <c r="A173" s="10">
        <f t="shared" si="34"/>
        <v>172</v>
      </c>
      <c r="B173" s="5" t="s">
        <v>239</v>
      </c>
      <c r="C173" s="5" t="s">
        <v>354</v>
      </c>
      <c r="D173" s="5">
        <f t="shared" si="35"/>
        <v>0</v>
      </c>
      <c r="E173" s="5">
        <v>0</v>
      </c>
      <c r="F173" s="5">
        <f t="shared" si="36"/>
        <v>0</v>
      </c>
      <c r="G173" s="5">
        <v>0</v>
      </c>
      <c r="H173" s="5">
        <f t="shared" si="37"/>
        <v>20000</v>
      </c>
      <c r="I173" s="5">
        <v>1</v>
      </c>
      <c r="J173" s="5">
        <f t="shared" si="38"/>
        <v>0</v>
      </c>
      <c r="K173" s="5">
        <v>0</v>
      </c>
      <c r="L173" s="5">
        <f t="shared" si="39"/>
        <v>0</v>
      </c>
      <c r="M173" s="5">
        <v>0</v>
      </c>
      <c r="N173" s="6">
        <f t="shared" si="40"/>
        <v>180000</v>
      </c>
    </row>
    <row r="174" spans="1:14" x14ac:dyDescent="0.45">
      <c r="A174" s="10">
        <f t="shared" si="34"/>
        <v>173</v>
      </c>
      <c r="B174" s="5" t="s">
        <v>240</v>
      </c>
      <c r="C174" s="5" t="s">
        <v>354</v>
      </c>
      <c r="D174" s="5">
        <f t="shared" si="35"/>
        <v>0</v>
      </c>
      <c r="E174" s="5">
        <v>0</v>
      </c>
      <c r="F174" s="5">
        <f t="shared" si="36"/>
        <v>0</v>
      </c>
      <c r="G174" s="5">
        <v>0</v>
      </c>
      <c r="H174" s="5">
        <f t="shared" si="37"/>
        <v>0</v>
      </c>
      <c r="I174" s="5">
        <v>0</v>
      </c>
      <c r="J174" s="5">
        <f t="shared" si="38"/>
        <v>0</v>
      </c>
      <c r="K174" s="5">
        <v>0</v>
      </c>
      <c r="L174" s="5">
        <f t="shared" si="39"/>
        <v>0</v>
      </c>
      <c r="M174" s="5">
        <v>0</v>
      </c>
      <c r="N174" s="6">
        <f t="shared" si="40"/>
        <v>200000</v>
      </c>
    </row>
    <row r="175" spans="1:14" x14ac:dyDescent="0.45">
      <c r="A175" s="10">
        <f t="shared" si="34"/>
        <v>174</v>
      </c>
      <c r="B175" s="5" t="s">
        <v>241</v>
      </c>
      <c r="C175" s="5" t="s">
        <v>354</v>
      </c>
      <c r="D175" s="5">
        <f t="shared" si="35"/>
        <v>0</v>
      </c>
      <c r="E175" s="5">
        <v>0</v>
      </c>
      <c r="F175" s="5">
        <f t="shared" si="36"/>
        <v>0</v>
      </c>
      <c r="G175" s="5">
        <v>0</v>
      </c>
      <c r="H175" s="5">
        <f t="shared" si="37"/>
        <v>0</v>
      </c>
      <c r="I175" s="5">
        <v>0</v>
      </c>
      <c r="J175" s="5">
        <f t="shared" si="38"/>
        <v>0</v>
      </c>
      <c r="K175" s="5">
        <v>0</v>
      </c>
      <c r="L175" s="5">
        <f t="shared" si="39"/>
        <v>30000</v>
      </c>
      <c r="M175" s="5">
        <v>1</v>
      </c>
      <c r="N175" s="6">
        <f t="shared" si="40"/>
        <v>170000</v>
      </c>
    </row>
    <row r="176" spans="1:14" x14ac:dyDescent="0.45">
      <c r="A176" s="10">
        <f t="shared" si="34"/>
        <v>175</v>
      </c>
      <c r="B176" s="5" t="s">
        <v>242</v>
      </c>
      <c r="C176" s="5" t="s">
        <v>354</v>
      </c>
      <c r="D176" s="5">
        <f t="shared" si="35"/>
        <v>0</v>
      </c>
      <c r="E176" s="5">
        <v>0</v>
      </c>
      <c r="F176" s="5">
        <f t="shared" si="36"/>
        <v>0</v>
      </c>
      <c r="G176" s="5">
        <v>0</v>
      </c>
      <c r="H176" s="5">
        <f t="shared" si="37"/>
        <v>0</v>
      </c>
      <c r="I176" s="5">
        <v>0</v>
      </c>
      <c r="J176" s="5">
        <f t="shared" si="38"/>
        <v>0</v>
      </c>
      <c r="K176" s="5">
        <v>0</v>
      </c>
      <c r="L176" s="5">
        <f t="shared" si="39"/>
        <v>0</v>
      </c>
      <c r="M176" s="5">
        <v>0</v>
      </c>
      <c r="N176" s="6">
        <f t="shared" si="40"/>
        <v>200000</v>
      </c>
    </row>
    <row r="177" spans="1:14" x14ac:dyDescent="0.45">
      <c r="A177" s="10">
        <f t="shared" si="34"/>
        <v>176</v>
      </c>
      <c r="B177" s="5" t="s">
        <v>243</v>
      </c>
      <c r="C177" s="5" t="s">
        <v>354</v>
      </c>
      <c r="D177" s="5">
        <f t="shared" si="35"/>
        <v>0</v>
      </c>
      <c r="E177" s="5">
        <v>0</v>
      </c>
      <c r="F177" s="5">
        <f t="shared" si="36"/>
        <v>0</v>
      </c>
      <c r="G177" s="5">
        <v>0</v>
      </c>
      <c r="H177" s="5">
        <f t="shared" si="37"/>
        <v>20000</v>
      </c>
      <c r="I177" s="5">
        <v>1</v>
      </c>
      <c r="J177" s="5">
        <f t="shared" si="38"/>
        <v>0</v>
      </c>
      <c r="K177" s="5">
        <v>0</v>
      </c>
      <c r="L177" s="5">
        <f t="shared" si="39"/>
        <v>0</v>
      </c>
      <c r="M177" s="5">
        <v>0</v>
      </c>
      <c r="N177" s="6">
        <f t="shared" si="40"/>
        <v>180000</v>
      </c>
    </row>
    <row r="178" spans="1:14" x14ac:dyDescent="0.45">
      <c r="A178" s="10">
        <f t="shared" si="34"/>
        <v>177</v>
      </c>
      <c r="B178" s="5" t="s">
        <v>244</v>
      </c>
      <c r="C178" s="5" t="s">
        <v>354</v>
      </c>
      <c r="D178" s="5">
        <f t="shared" si="35"/>
        <v>0</v>
      </c>
      <c r="E178" s="5">
        <v>0</v>
      </c>
      <c r="F178" s="5">
        <f t="shared" si="36"/>
        <v>0</v>
      </c>
      <c r="G178" s="5">
        <v>0</v>
      </c>
      <c r="H178" s="5">
        <f t="shared" si="37"/>
        <v>0</v>
      </c>
      <c r="I178" s="5">
        <v>0</v>
      </c>
      <c r="J178" s="5">
        <f t="shared" si="38"/>
        <v>20000</v>
      </c>
      <c r="K178" s="5">
        <v>1</v>
      </c>
      <c r="L178" s="5">
        <f t="shared" si="39"/>
        <v>30000</v>
      </c>
      <c r="M178" s="5">
        <v>1</v>
      </c>
      <c r="N178" s="6">
        <f t="shared" si="40"/>
        <v>150000</v>
      </c>
    </row>
    <row r="179" spans="1:14" x14ac:dyDescent="0.45">
      <c r="A179" s="10">
        <f t="shared" si="34"/>
        <v>178</v>
      </c>
      <c r="B179" s="5" t="s">
        <v>245</v>
      </c>
      <c r="C179" s="5" t="s">
        <v>354</v>
      </c>
      <c r="D179" s="5">
        <f t="shared" si="35"/>
        <v>0</v>
      </c>
      <c r="E179" s="5">
        <v>0</v>
      </c>
      <c r="F179" s="5">
        <f t="shared" si="36"/>
        <v>0</v>
      </c>
      <c r="G179" s="5">
        <v>0</v>
      </c>
      <c r="H179" s="5">
        <f t="shared" si="37"/>
        <v>0</v>
      </c>
      <c r="I179" s="5">
        <v>0</v>
      </c>
      <c r="J179" s="5">
        <f t="shared" si="38"/>
        <v>0</v>
      </c>
      <c r="K179" s="5">
        <v>0</v>
      </c>
      <c r="L179" s="5">
        <f t="shared" si="39"/>
        <v>30000</v>
      </c>
      <c r="M179" s="5">
        <v>1</v>
      </c>
      <c r="N179" s="6">
        <f t="shared" si="40"/>
        <v>170000</v>
      </c>
    </row>
    <row r="180" spans="1:14" x14ac:dyDescent="0.45">
      <c r="A180" s="10">
        <f t="shared" si="34"/>
        <v>179</v>
      </c>
      <c r="B180" s="5" t="s">
        <v>246</v>
      </c>
      <c r="C180" s="5" t="s">
        <v>354</v>
      </c>
      <c r="D180" s="5">
        <f t="shared" si="35"/>
        <v>0</v>
      </c>
      <c r="E180" s="5">
        <v>0</v>
      </c>
      <c r="F180" s="5">
        <f t="shared" si="36"/>
        <v>0</v>
      </c>
      <c r="G180" s="5">
        <v>0</v>
      </c>
      <c r="H180" s="5">
        <f t="shared" si="37"/>
        <v>0</v>
      </c>
      <c r="I180" s="5">
        <v>0</v>
      </c>
      <c r="J180" s="5">
        <f t="shared" si="38"/>
        <v>0</v>
      </c>
      <c r="K180" s="5">
        <v>0</v>
      </c>
      <c r="L180" s="5">
        <f t="shared" si="39"/>
        <v>0</v>
      </c>
      <c r="M180" s="5">
        <v>0</v>
      </c>
      <c r="N180" s="6">
        <f t="shared" si="40"/>
        <v>200000</v>
      </c>
    </row>
    <row r="181" spans="1:14" x14ac:dyDescent="0.45">
      <c r="A181" s="10">
        <f t="shared" si="34"/>
        <v>180</v>
      </c>
      <c r="B181" s="5" t="s">
        <v>247</v>
      </c>
      <c r="C181" s="5" t="s">
        <v>354</v>
      </c>
      <c r="D181" s="5">
        <f t="shared" si="35"/>
        <v>0</v>
      </c>
      <c r="E181" s="5">
        <v>0</v>
      </c>
      <c r="F181" s="5">
        <f t="shared" si="36"/>
        <v>0</v>
      </c>
      <c r="G181" s="5">
        <v>0</v>
      </c>
      <c r="H181" s="5">
        <f t="shared" si="37"/>
        <v>40000</v>
      </c>
      <c r="I181" s="5">
        <v>2</v>
      </c>
      <c r="J181" s="5">
        <f t="shared" si="38"/>
        <v>0</v>
      </c>
      <c r="K181" s="5">
        <v>0</v>
      </c>
      <c r="L181" s="5">
        <f t="shared" si="39"/>
        <v>0</v>
      </c>
      <c r="M181" s="5">
        <v>0</v>
      </c>
      <c r="N181" s="6">
        <f t="shared" si="40"/>
        <v>160000</v>
      </c>
    </row>
    <row r="182" spans="1:14" x14ac:dyDescent="0.45">
      <c r="A182" s="10">
        <f>ROW(A182)-1</f>
        <v>181</v>
      </c>
      <c r="B182" s="5" t="s">
        <v>248</v>
      </c>
      <c r="C182" s="5" t="s">
        <v>354</v>
      </c>
      <c r="D182" s="5">
        <f>E182*5000</f>
        <v>0</v>
      </c>
      <c r="E182" s="5">
        <v>0</v>
      </c>
      <c r="F182" s="5">
        <f>G182*100000</f>
        <v>0</v>
      </c>
      <c r="G182" s="5">
        <v>0</v>
      </c>
      <c r="H182" s="5">
        <f>I182*20000</f>
        <v>20000</v>
      </c>
      <c r="I182" s="5">
        <v>1</v>
      </c>
      <c r="J182" s="5">
        <f>K182*20000</f>
        <v>0</v>
      </c>
      <c r="K182" s="5">
        <v>0</v>
      </c>
      <c r="L182" s="5">
        <f>M182*30000</f>
        <v>30000</v>
      </c>
      <c r="M182" s="5">
        <v>1</v>
      </c>
      <c r="N182" s="6">
        <f>200000-L182-J182-H182-F182-D182</f>
        <v>150000</v>
      </c>
    </row>
    <row r="183" spans="1:14" x14ac:dyDescent="0.45">
      <c r="A183" s="10">
        <f t="shared" ref="A183:A212" si="41">ROW(A183)-1</f>
        <v>182</v>
      </c>
      <c r="B183" s="5" t="s">
        <v>249</v>
      </c>
      <c r="C183" s="5" t="s">
        <v>354</v>
      </c>
      <c r="D183" s="5">
        <f t="shared" ref="D183:D243" si="42">E183*5000</f>
        <v>0</v>
      </c>
      <c r="E183" s="5">
        <v>0</v>
      </c>
      <c r="F183" s="5">
        <f t="shared" ref="F183:F212" si="43">G183*100000</f>
        <v>0</v>
      </c>
      <c r="G183" s="5">
        <v>0</v>
      </c>
      <c r="H183" s="5">
        <f t="shared" ref="H183:H212" si="44">I183*20000</f>
        <v>0</v>
      </c>
      <c r="I183" s="5">
        <v>0</v>
      </c>
      <c r="J183" s="5">
        <f t="shared" ref="J183:J212" si="45">K183*20000</f>
        <v>0</v>
      </c>
      <c r="K183" s="5">
        <v>0</v>
      </c>
      <c r="L183" s="5">
        <f t="shared" ref="L183:L243" si="46">M183*30000</f>
        <v>0</v>
      </c>
      <c r="M183" s="5">
        <v>0</v>
      </c>
      <c r="N183" s="6">
        <f t="shared" ref="N183:N242" si="47">200000-L183-J183-H183-F183-D183</f>
        <v>200000</v>
      </c>
    </row>
    <row r="184" spans="1:14" x14ac:dyDescent="0.45">
      <c r="A184" s="10">
        <f t="shared" si="41"/>
        <v>183</v>
      </c>
      <c r="B184" s="5" t="s">
        <v>250</v>
      </c>
      <c r="C184" s="5" t="s">
        <v>354</v>
      </c>
      <c r="D184" s="5">
        <f t="shared" si="42"/>
        <v>0</v>
      </c>
      <c r="E184" s="5">
        <v>0</v>
      </c>
      <c r="F184" s="5">
        <f t="shared" si="43"/>
        <v>0</v>
      </c>
      <c r="G184" s="5">
        <v>0</v>
      </c>
      <c r="H184" s="5">
        <f t="shared" si="44"/>
        <v>0</v>
      </c>
      <c r="I184" s="5">
        <v>0</v>
      </c>
      <c r="J184" s="5">
        <f t="shared" si="45"/>
        <v>0</v>
      </c>
      <c r="K184" s="5">
        <v>0</v>
      </c>
      <c r="L184" s="5">
        <f t="shared" si="46"/>
        <v>0</v>
      </c>
      <c r="M184" s="5">
        <v>0</v>
      </c>
      <c r="N184" s="6">
        <f t="shared" si="47"/>
        <v>200000</v>
      </c>
    </row>
    <row r="185" spans="1:14" x14ac:dyDescent="0.45">
      <c r="A185" s="10">
        <f t="shared" si="41"/>
        <v>184</v>
      </c>
      <c r="B185" s="5" t="s">
        <v>251</v>
      </c>
      <c r="C185" s="5" t="s">
        <v>354</v>
      </c>
      <c r="D185" s="5">
        <f t="shared" si="42"/>
        <v>0</v>
      </c>
      <c r="E185" s="5">
        <v>0</v>
      </c>
      <c r="F185" s="5">
        <f t="shared" si="43"/>
        <v>0</v>
      </c>
      <c r="G185" s="5">
        <v>0</v>
      </c>
      <c r="H185" s="5">
        <f t="shared" si="44"/>
        <v>20000</v>
      </c>
      <c r="I185" s="5">
        <v>1</v>
      </c>
      <c r="J185" s="5">
        <f t="shared" si="45"/>
        <v>0</v>
      </c>
      <c r="K185" s="5">
        <v>0</v>
      </c>
      <c r="L185" s="5">
        <f t="shared" si="46"/>
        <v>0</v>
      </c>
      <c r="M185" s="5">
        <v>0</v>
      </c>
      <c r="N185" s="6">
        <f t="shared" si="47"/>
        <v>180000</v>
      </c>
    </row>
    <row r="186" spans="1:14" x14ac:dyDescent="0.45">
      <c r="A186" s="10">
        <f t="shared" si="41"/>
        <v>185</v>
      </c>
      <c r="B186" s="5" t="s">
        <v>252</v>
      </c>
      <c r="C186" s="5" t="s">
        <v>354</v>
      </c>
      <c r="D186" s="5">
        <f t="shared" si="42"/>
        <v>0</v>
      </c>
      <c r="E186" s="5">
        <v>0</v>
      </c>
      <c r="F186" s="5">
        <f t="shared" si="43"/>
        <v>0</v>
      </c>
      <c r="G186" s="5">
        <v>0</v>
      </c>
      <c r="H186" s="5">
        <f t="shared" si="44"/>
        <v>0</v>
      </c>
      <c r="I186" s="5">
        <v>0</v>
      </c>
      <c r="J186" s="5">
        <f t="shared" si="45"/>
        <v>0</v>
      </c>
      <c r="K186" s="5">
        <v>0</v>
      </c>
      <c r="L186" s="5">
        <f t="shared" si="46"/>
        <v>0</v>
      </c>
      <c r="M186" s="5">
        <v>0</v>
      </c>
      <c r="N186" s="6">
        <f t="shared" si="47"/>
        <v>200000</v>
      </c>
    </row>
    <row r="187" spans="1:14" x14ac:dyDescent="0.45">
      <c r="A187" s="10">
        <f t="shared" si="41"/>
        <v>186</v>
      </c>
      <c r="B187" s="5" t="s">
        <v>253</v>
      </c>
      <c r="C187" s="5" t="s">
        <v>354</v>
      </c>
      <c r="D187" s="5">
        <f t="shared" si="42"/>
        <v>0</v>
      </c>
      <c r="E187" s="5">
        <v>0</v>
      </c>
      <c r="F187" s="5">
        <f t="shared" si="43"/>
        <v>0</v>
      </c>
      <c r="G187" s="5">
        <v>0</v>
      </c>
      <c r="H187" s="5">
        <f t="shared" si="44"/>
        <v>0</v>
      </c>
      <c r="I187" s="5">
        <v>0</v>
      </c>
      <c r="J187" s="5">
        <f t="shared" si="45"/>
        <v>20000</v>
      </c>
      <c r="K187" s="5">
        <v>1</v>
      </c>
      <c r="L187" s="5">
        <f t="shared" si="46"/>
        <v>30000</v>
      </c>
      <c r="M187" s="5">
        <v>1</v>
      </c>
      <c r="N187" s="6">
        <f t="shared" si="47"/>
        <v>150000</v>
      </c>
    </row>
    <row r="188" spans="1:14" x14ac:dyDescent="0.45">
      <c r="A188" s="10">
        <f t="shared" si="41"/>
        <v>187</v>
      </c>
      <c r="B188" s="5" t="s">
        <v>254</v>
      </c>
      <c r="C188" s="5" t="s">
        <v>354</v>
      </c>
      <c r="D188" s="5">
        <f t="shared" si="42"/>
        <v>0</v>
      </c>
      <c r="E188" s="5">
        <v>0</v>
      </c>
      <c r="F188" s="5">
        <f t="shared" si="43"/>
        <v>0</v>
      </c>
      <c r="G188" s="5">
        <v>0</v>
      </c>
      <c r="H188" s="5">
        <f t="shared" si="44"/>
        <v>20000</v>
      </c>
      <c r="I188" s="5">
        <v>1</v>
      </c>
      <c r="J188" s="5">
        <f t="shared" si="45"/>
        <v>20000</v>
      </c>
      <c r="K188" s="5">
        <v>1</v>
      </c>
      <c r="L188" s="5">
        <f t="shared" si="46"/>
        <v>30000</v>
      </c>
      <c r="M188" s="5">
        <v>1</v>
      </c>
      <c r="N188" s="6">
        <f t="shared" si="47"/>
        <v>130000</v>
      </c>
    </row>
    <row r="189" spans="1:14" x14ac:dyDescent="0.45">
      <c r="A189" s="10">
        <f t="shared" si="41"/>
        <v>188</v>
      </c>
      <c r="B189" s="5" t="s">
        <v>255</v>
      </c>
      <c r="C189" s="5" t="s">
        <v>354</v>
      </c>
      <c r="D189" s="5">
        <f t="shared" si="42"/>
        <v>0</v>
      </c>
      <c r="E189" s="5">
        <v>0</v>
      </c>
      <c r="F189" s="5">
        <f t="shared" si="43"/>
        <v>0</v>
      </c>
      <c r="G189" s="5">
        <v>0</v>
      </c>
      <c r="H189" s="5">
        <f t="shared" si="44"/>
        <v>20000</v>
      </c>
      <c r="I189" s="5">
        <v>1</v>
      </c>
      <c r="J189" s="5">
        <f t="shared" si="45"/>
        <v>20000</v>
      </c>
      <c r="K189" s="5">
        <v>1</v>
      </c>
      <c r="L189" s="5">
        <f t="shared" si="46"/>
        <v>0</v>
      </c>
      <c r="M189" s="5">
        <v>0</v>
      </c>
      <c r="N189" s="6">
        <f t="shared" si="47"/>
        <v>160000</v>
      </c>
    </row>
    <row r="190" spans="1:14" x14ac:dyDescent="0.45">
      <c r="A190" s="10">
        <f t="shared" si="41"/>
        <v>189</v>
      </c>
      <c r="B190" s="5" t="s">
        <v>256</v>
      </c>
      <c r="C190" s="5" t="s">
        <v>354</v>
      </c>
      <c r="D190" s="5">
        <f t="shared" si="42"/>
        <v>0</v>
      </c>
      <c r="E190" s="5">
        <v>0</v>
      </c>
      <c r="F190" s="5">
        <f t="shared" si="43"/>
        <v>0</v>
      </c>
      <c r="G190" s="5">
        <v>0</v>
      </c>
      <c r="H190" s="5">
        <f t="shared" si="44"/>
        <v>20000</v>
      </c>
      <c r="I190" s="5">
        <v>1</v>
      </c>
      <c r="J190" s="5">
        <f t="shared" si="45"/>
        <v>20000</v>
      </c>
      <c r="K190" s="5">
        <v>1</v>
      </c>
      <c r="L190" s="5">
        <f t="shared" si="46"/>
        <v>0</v>
      </c>
      <c r="M190" s="5">
        <v>0</v>
      </c>
      <c r="N190" s="6">
        <f t="shared" si="47"/>
        <v>160000</v>
      </c>
    </row>
    <row r="191" spans="1:14" x14ac:dyDescent="0.45">
      <c r="A191" s="10">
        <f t="shared" si="41"/>
        <v>190</v>
      </c>
      <c r="B191" s="5" t="s">
        <v>257</v>
      </c>
      <c r="C191" s="5" t="s">
        <v>354</v>
      </c>
      <c r="D191" s="5">
        <f t="shared" si="42"/>
        <v>0</v>
      </c>
      <c r="E191" s="5">
        <v>0</v>
      </c>
      <c r="F191" s="5">
        <f t="shared" si="43"/>
        <v>0</v>
      </c>
      <c r="G191" s="5">
        <v>0</v>
      </c>
      <c r="H191" s="5">
        <f t="shared" si="44"/>
        <v>40000</v>
      </c>
      <c r="I191" s="5">
        <v>2</v>
      </c>
      <c r="J191" s="5">
        <f t="shared" si="45"/>
        <v>20000</v>
      </c>
      <c r="K191" s="5">
        <v>1</v>
      </c>
      <c r="L191" s="5">
        <f t="shared" si="46"/>
        <v>30000</v>
      </c>
      <c r="M191" s="5">
        <v>1</v>
      </c>
      <c r="N191" s="6">
        <f t="shared" si="47"/>
        <v>110000</v>
      </c>
    </row>
    <row r="192" spans="1:14" x14ac:dyDescent="0.45">
      <c r="A192" s="10">
        <f t="shared" si="41"/>
        <v>191</v>
      </c>
      <c r="B192" s="5" t="s">
        <v>258</v>
      </c>
      <c r="C192" s="5" t="s">
        <v>354</v>
      </c>
      <c r="D192" s="5">
        <f t="shared" si="42"/>
        <v>0</v>
      </c>
      <c r="E192" s="5">
        <v>0</v>
      </c>
      <c r="F192" s="5">
        <f t="shared" si="43"/>
        <v>0</v>
      </c>
      <c r="G192" s="5">
        <v>0</v>
      </c>
      <c r="H192" s="5">
        <f t="shared" si="44"/>
        <v>20000</v>
      </c>
      <c r="I192" s="5">
        <v>1</v>
      </c>
      <c r="J192" s="5">
        <f t="shared" si="45"/>
        <v>0</v>
      </c>
      <c r="K192" s="5">
        <v>0</v>
      </c>
      <c r="L192" s="5">
        <f t="shared" si="46"/>
        <v>0</v>
      </c>
      <c r="M192" s="5">
        <v>0</v>
      </c>
      <c r="N192" s="6">
        <f t="shared" si="47"/>
        <v>180000</v>
      </c>
    </row>
    <row r="193" spans="1:14" x14ac:dyDescent="0.45">
      <c r="A193" s="10">
        <f t="shared" si="41"/>
        <v>192</v>
      </c>
      <c r="B193" s="5" t="s">
        <v>259</v>
      </c>
      <c r="C193" s="5" t="s">
        <v>354</v>
      </c>
      <c r="D193" s="5">
        <f t="shared" si="42"/>
        <v>0</v>
      </c>
      <c r="E193" s="5">
        <v>0</v>
      </c>
      <c r="F193" s="5">
        <f t="shared" si="43"/>
        <v>0</v>
      </c>
      <c r="G193" s="5">
        <v>0</v>
      </c>
      <c r="H193" s="5">
        <f t="shared" si="44"/>
        <v>20000</v>
      </c>
      <c r="I193" s="5">
        <v>1</v>
      </c>
      <c r="J193" s="5">
        <f t="shared" si="45"/>
        <v>0</v>
      </c>
      <c r="K193" s="5">
        <v>0</v>
      </c>
      <c r="L193" s="5">
        <f t="shared" si="46"/>
        <v>0</v>
      </c>
      <c r="M193" s="5">
        <v>0</v>
      </c>
      <c r="N193" s="6">
        <f t="shared" si="47"/>
        <v>180000</v>
      </c>
    </row>
    <row r="194" spans="1:14" x14ac:dyDescent="0.45">
      <c r="A194" s="10">
        <f t="shared" si="41"/>
        <v>193</v>
      </c>
      <c r="B194" s="5" t="s">
        <v>260</v>
      </c>
      <c r="C194" s="5" t="s">
        <v>354</v>
      </c>
      <c r="D194" s="5">
        <f t="shared" si="42"/>
        <v>0</v>
      </c>
      <c r="E194" s="5">
        <v>0</v>
      </c>
      <c r="F194" s="5">
        <f t="shared" si="43"/>
        <v>0</v>
      </c>
      <c r="G194" s="5">
        <v>0</v>
      </c>
      <c r="H194" s="5">
        <f t="shared" si="44"/>
        <v>20000</v>
      </c>
      <c r="I194" s="5">
        <v>1</v>
      </c>
      <c r="J194" s="5">
        <f t="shared" si="45"/>
        <v>20000</v>
      </c>
      <c r="K194" s="5">
        <v>1</v>
      </c>
      <c r="L194" s="5">
        <f t="shared" si="46"/>
        <v>0</v>
      </c>
      <c r="M194" s="5">
        <v>0</v>
      </c>
      <c r="N194" s="6">
        <f t="shared" si="47"/>
        <v>160000</v>
      </c>
    </row>
    <row r="195" spans="1:14" x14ac:dyDescent="0.45">
      <c r="A195" s="10">
        <f t="shared" si="41"/>
        <v>194</v>
      </c>
      <c r="B195" s="5" t="s">
        <v>261</v>
      </c>
      <c r="C195" s="5" t="s">
        <v>354</v>
      </c>
      <c r="D195" s="5">
        <f t="shared" si="42"/>
        <v>0</v>
      </c>
      <c r="E195" s="5">
        <v>0</v>
      </c>
      <c r="F195" s="5">
        <f t="shared" si="43"/>
        <v>0</v>
      </c>
      <c r="G195" s="5">
        <v>0</v>
      </c>
      <c r="H195" s="5">
        <f t="shared" si="44"/>
        <v>0</v>
      </c>
      <c r="I195" s="5">
        <v>0</v>
      </c>
      <c r="J195" s="5">
        <f t="shared" si="45"/>
        <v>0</v>
      </c>
      <c r="K195" s="5">
        <v>0</v>
      </c>
      <c r="L195" s="5">
        <f t="shared" si="46"/>
        <v>0</v>
      </c>
      <c r="M195" s="5">
        <v>0</v>
      </c>
      <c r="N195" s="6">
        <f t="shared" si="47"/>
        <v>200000</v>
      </c>
    </row>
    <row r="196" spans="1:14" x14ac:dyDescent="0.45">
      <c r="A196" s="10">
        <f t="shared" si="41"/>
        <v>195</v>
      </c>
      <c r="B196" s="5" t="s">
        <v>262</v>
      </c>
      <c r="C196" s="5" t="s">
        <v>354</v>
      </c>
      <c r="D196" s="5">
        <f t="shared" si="42"/>
        <v>0</v>
      </c>
      <c r="E196" s="5">
        <v>0</v>
      </c>
      <c r="F196" s="5">
        <f t="shared" si="43"/>
        <v>0</v>
      </c>
      <c r="G196" s="5">
        <v>0</v>
      </c>
      <c r="H196" s="5">
        <f t="shared" si="44"/>
        <v>20000</v>
      </c>
      <c r="I196" s="5">
        <v>1</v>
      </c>
      <c r="J196" s="5">
        <f t="shared" si="45"/>
        <v>0</v>
      </c>
      <c r="K196" s="5">
        <v>0</v>
      </c>
      <c r="L196" s="5">
        <f t="shared" si="46"/>
        <v>60000</v>
      </c>
      <c r="M196" s="5">
        <v>2</v>
      </c>
      <c r="N196" s="6">
        <f t="shared" si="47"/>
        <v>120000</v>
      </c>
    </row>
    <row r="197" spans="1:14" x14ac:dyDescent="0.45">
      <c r="A197" s="10">
        <f t="shared" si="41"/>
        <v>196</v>
      </c>
      <c r="B197" s="5" t="s">
        <v>263</v>
      </c>
      <c r="C197" s="5" t="s">
        <v>354</v>
      </c>
      <c r="D197" s="5">
        <f t="shared" si="42"/>
        <v>0</v>
      </c>
      <c r="E197" s="5">
        <v>0</v>
      </c>
      <c r="F197" s="5">
        <f t="shared" si="43"/>
        <v>0</v>
      </c>
      <c r="G197" s="5">
        <v>0</v>
      </c>
      <c r="H197" s="5">
        <f t="shared" si="44"/>
        <v>0</v>
      </c>
      <c r="I197" s="5">
        <v>0</v>
      </c>
      <c r="J197" s="5">
        <f t="shared" si="45"/>
        <v>0</v>
      </c>
      <c r="K197" s="5">
        <v>0</v>
      </c>
      <c r="L197" s="5">
        <f t="shared" si="46"/>
        <v>60000</v>
      </c>
      <c r="M197" s="5">
        <v>2</v>
      </c>
      <c r="N197" s="6">
        <f t="shared" si="47"/>
        <v>140000</v>
      </c>
    </row>
    <row r="198" spans="1:14" x14ac:dyDescent="0.45">
      <c r="A198" s="10">
        <f t="shared" si="41"/>
        <v>197</v>
      </c>
      <c r="B198" s="5" t="s">
        <v>264</v>
      </c>
      <c r="C198" s="5" t="s">
        <v>354</v>
      </c>
      <c r="D198" s="5">
        <f t="shared" si="42"/>
        <v>0</v>
      </c>
      <c r="E198" s="5">
        <v>0</v>
      </c>
      <c r="F198" s="5">
        <f t="shared" si="43"/>
        <v>0</v>
      </c>
      <c r="G198" s="5">
        <v>0</v>
      </c>
      <c r="H198" s="5">
        <f t="shared" si="44"/>
        <v>0</v>
      </c>
      <c r="I198" s="5">
        <v>0</v>
      </c>
      <c r="J198" s="5">
        <f t="shared" si="45"/>
        <v>0</v>
      </c>
      <c r="K198" s="5">
        <v>0</v>
      </c>
      <c r="L198" s="5">
        <f t="shared" si="46"/>
        <v>0</v>
      </c>
      <c r="M198" s="5">
        <v>0</v>
      </c>
      <c r="N198" s="6">
        <f t="shared" si="47"/>
        <v>200000</v>
      </c>
    </row>
    <row r="199" spans="1:14" x14ac:dyDescent="0.45">
      <c r="A199" s="10">
        <f t="shared" si="41"/>
        <v>198</v>
      </c>
      <c r="B199" s="5" t="s">
        <v>265</v>
      </c>
      <c r="C199" s="5" t="s">
        <v>354</v>
      </c>
      <c r="D199" s="5">
        <f t="shared" si="42"/>
        <v>0</v>
      </c>
      <c r="E199" s="5">
        <v>0</v>
      </c>
      <c r="F199" s="5">
        <f t="shared" si="43"/>
        <v>0</v>
      </c>
      <c r="G199" s="5">
        <v>0</v>
      </c>
      <c r="H199" s="5">
        <f t="shared" si="44"/>
        <v>20000</v>
      </c>
      <c r="I199" s="5">
        <v>1</v>
      </c>
      <c r="J199" s="5">
        <f t="shared" si="45"/>
        <v>0</v>
      </c>
      <c r="K199" s="5">
        <v>0</v>
      </c>
      <c r="L199" s="5">
        <f t="shared" si="46"/>
        <v>30000</v>
      </c>
      <c r="M199" s="5">
        <v>1</v>
      </c>
      <c r="N199" s="6">
        <f t="shared" si="47"/>
        <v>150000</v>
      </c>
    </row>
    <row r="200" spans="1:14" x14ac:dyDescent="0.45">
      <c r="A200" s="10">
        <f t="shared" si="41"/>
        <v>199</v>
      </c>
      <c r="B200" s="5" t="s">
        <v>266</v>
      </c>
      <c r="C200" s="5" t="s">
        <v>354</v>
      </c>
      <c r="D200" s="5">
        <f t="shared" si="42"/>
        <v>0</v>
      </c>
      <c r="E200" s="5">
        <v>0</v>
      </c>
      <c r="F200" s="5">
        <f t="shared" si="43"/>
        <v>0</v>
      </c>
      <c r="G200" s="5">
        <v>0</v>
      </c>
      <c r="H200" s="5">
        <f t="shared" si="44"/>
        <v>0</v>
      </c>
      <c r="I200" s="5">
        <v>0</v>
      </c>
      <c r="J200" s="5">
        <f t="shared" si="45"/>
        <v>0</v>
      </c>
      <c r="K200" s="5">
        <v>0</v>
      </c>
      <c r="L200" s="5">
        <f t="shared" si="46"/>
        <v>0</v>
      </c>
      <c r="M200" s="5">
        <v>0</v>
      </c>
      <c r="N200" s="6">
        <f t="shared" si="47"/>
        <v>200000</v>
      </c>
    </row>
    <row r="201" spans="1:14" x14ac:dyDescent="0.45">
      <c r="A201" s="10">
        <f t="shared" si="41"/>
        <v>200</v>
      </c>
      <c r="B201" s="5" t="s">
        <v>267</v>
      </c>
      <c r="C201" s="5" t="s">
        <v>354</v>
      </c>
      <c r="D201" s="5">
        <f t="shared" si="42"/>
        <v>0</v>
      </c>
      <c r="E201" s="5">
        <v>0</v>
      </c>
      <c r="F201" s="5">
        <f t="shared" si="43"/>
        <v>0</v>
      </c>
      <c r="G201" s="5">
        <v>0</v>
      </c>
      <c r="H201" s="5">
        <f t="shared" si="44"/>
        <v>0</v>
      </c>
      <c r="I201" s="5">
        <v>0</v>
      </c>
      <c r="J201" s="5">
        <f t="shared" si="45"/>
        <v>20000</v>
      </c>
      <c r="K201" s="5">
        <v>1</v>
      </c>
      <c r="L201" s="5">
        <f t="shared" si="46"/>
        <v>0</v>
      </c>
      <c r="M201" s="5">
        <v>0</v>
      </c>
      <c r="N201" s="6">
        <f t="shared" si="47"/>
        <v>180000</v>
      </c>
    </row>
    <row r="202" spans="1:14" x14ac:dyDescent="0.45">
      <c r="A202" s="10">
        <f t="shared" si="41"/>
        <v>201</v>
      </c>
      <c r="B202" s="5" t="s">
        <v>268</v>
      </c>
      <c r="C202" s="5" t="s">
        <v>354</v>
      </c>
      <c r="D202" s="5">
        <f t="shared" si="42"/>
        <v>0</v>
      </c>
      <c r="E202" s="5">
        <v>0</v>
      </c>
      <c r="F202" s="5">
        <f t="shared" si="43"/>
        <v>0</v>
      </c>
      <c r="G202" s="5">
        <v>0</v>
      </c>
      <c r="H202" s="5">
        <f t="shared" si="44"/>
        <v>0</v>
      </c>
      <c r="I202" s="5">
        <v>0</v>
      </c>
      <c r="J202" s="5">
        <f t="shared" si="45"/>
        <v>40000</v>
      </c>
      <c r="K202" s="5">
        <v>2</v>
      </c>
      <c r="L202" s="5">
        <f t="shared" si="46"/>
        <v>0</v>
      </c>
      <c r="M202" s="5">
        <v>0</v>
      </c>
      <c r="N202" s="6">
        <f t="shared" si="47"/>
        <v>160000</v>
      </c>
    </row>
    <row r="203" spans="1:14" x14ac:dyDescent="0.45">
      <c r="A203" s="10">
        <f t="shared" si="41"/>
        <v>202</v>
      </c>
      <c r="B203" s="5" t="s">
        <v>269</v>
      </c>
      <c r="C203" s="5" t="s">
        <v>354</v>
      </c>
      <c r="D203" s="5">
        <f t="shared" si="42"/>
        <v>0</v>
      </c>
      <c r="E203" s="5">
        <v>0</v>
      </c>
      <c r="F203" s="5">
        <f t="shared" si="43"/>
        <v>0</v>
      </c>
      <c r="G203" s="5">
        <v>0</v>
      </c>
      <c r="H203" s="5">
        <f t="shared" si="44"/>
        <v>0</v>
      </c>
      <c r="I203" s="5">
        <v>0</v>
      </c>
      <c r="J203" s="5">
        <f t="shared" si="45"/>
        <v>0</v>
      </c>
      <c r="K203" s="5">
        <v>0</v>
      </c>
      <c r="L203" s="5">
        <f t="shared" si="46"/>
        <v>0</v>
      </c>
      <c r="M203" s="5">
        <v>0</v>
      </c>
      <c r="N203" s="6">
        <f t="shared" si="47"/>
        <v>200000</v>
      </c>
    </row>
    <row r="204" spans="1:14" x14ac:dyDescent="0.45">
      <c r="A204" s="10">
        <f t="shared" si="41"/>
        <v>203</v>
      </c>
      <c r="B204" s="5" t="s">
        <v>270</v>
      </c>
      <c r="C204" s="5" t="s">
        <v>354</v>
      </c>
      <c r="D204" s="5">
        <f t="shared" si="42"/>
        <v>5000</v>
      </c>
      <c r="E204" s="5">
        <v>1</v>
      </c>
      <c r="F204" s="5">
        <f t="shared" si="43"/>
        <v>0</v>
      </c>
      <c r="G204" s="5">
        <v>0</v>
      </c>
      <c r="H204" s="5">
        <f t="shared" si="44"/>
        <v>20000</v>
      </c>
      <c r="I204" s="5">
        <v>1</v>
      </c>
      <c r="J204" s="5">
        <f t="shared" si="45"/>
        <v>80000</v>
      </c>
      <c r="K204" s="5">
        <v>4</v>
      </c>
      <c r="L204" s="5">
        <f t="shared" si="46"/>
        <v>0</v>
      </c>
      <c r="M204" s="5">
        <v>0</v>
      </c>
      <c r="N204" s="6">
        <f t="shared" si="47"/>
        <v>95000</v>
      </c>
    </row>
    <row r="205" spans="1:14" x14ac:dyDescent="0.45">
      <c r="A205" s="10">
        <f t="shared" si="41"/>
        <v>204</v>
      </c>
      <c r="B205" s="5" t="s">
        <v>271</v>
      </c>
      <c r="C205" s="5" t="s">
        <v>354</v>
      </c>
      <c r="D205" s="5">
        <f t="shared" si="42"/>
        <v>20000</v>
      </c>
      <c r="E205" s="5">
        <v>4</v>
      </c>
      <c r="F205" s="5">
        <f t="shared" si="43"/>
        <v>0</v>
      </c>
      <c r="G205" s="5">
        <v>0</v>
      </c>
      <c r="H205" s="5">
        <f t="shared" si="44"/>
        <v>20000</v>
      </c>
      <c r="I205" s="5">
        <v>1</v>
      </c>
      <c r="J205" s="5">
        <f t="shared" si="45"/>
        <v>160000</v>
      </c>
      <c r="K205" s="5">
        <v>8</v>
      </c>
      <c r="L205" s="5">
        <f t="shared" si="46"/>
        <v>0</v>
      </c>
      <c r="M205" s="5">
        <v>0</v>
      </c>
      <c r="N205" s="6">
        <f t="shared" si="47"/>
        <v>0</v>
      </c>
    </row>
    <row r="206" spans="1:14" x14ac:dyDescent="0.45">
      <c r="A206" s="10">
        <f t="shared" si="41"/>
        <v>205</v>
      </c>
      <c r="B206" s="5" t="s">
        <v>272</v>
      </c>
      <c r="C206" s="5" t="s">
        <v>354</v>
      </c>
      <c r="D206" s="5">
        <f t="shared" si="42"/>
        <v>0</v>
      </c>
      <c r="E206" s="5">
        <v>0</v>
      </c>
      <c r="F206" s="5">
        <f t="shared" si="43"/>
        <v>0</v>
      </c>
      <c r="G206" s="5">
        <v>0</v>
      </c>
      <c r="H206" s="5">
        <f t="shared" si="44"/>
        <v>0</v>
      </c>
      <c r="I206" s="5">
        <v>0</v>
      </c>
      <c r="J206" s="5">
        <f t="shared" si="45"/>
        <v>0</v>
      </c>
      <c r="K206" s="5">
        <v>0</v>
      </c>
      <c r="L206" s="5">
        <f t="shared" si="46"/>
        <v>0</v>
      </c>
      <c r="M206" s="5">
        <v>0</v>
      </c>
      <c r="N206" s="6">
        <f t="shared" si="47"/>
        <v>200000</v>
      </c>
    </row>
    <row r="207" spans="1:14" x14ac:dyDescent="0.45">
      <c r="A207" s="10">
        <f t="shared" si="41"/>
        <v>206</v>
      </c>
      <c r="B207" s="5" t="s">
        <v>273</v>
      </c>
      <c r="C207" s="5" t="s">
        <v>354</v>
      </c>
      <c r="D207" s="5">
        <f t="shared" si="42"/>
        <v>0</v>
      </c>
      <c r="E207" s="5">
        <v>0</v>
      </c>
      <c r="F207" s="5">
        <f t="shared" si="43"/>
        <v>0</v>
      </c>
      <c r="G207" s="5">
        <v>0</v>
      </c>
      <c r="H207" s="5">
        <f t="shared" si="44"/>
        <v>0</v>
      </c>
      <c r="I207" s="5">
        <v>0</v>
      </c>
      <c r="J207" s="5">
        <f t="shared" si="45"/>
        <v>0</v>
      </c>
      <c r="K207" s="5">
        <v>0</v>
      </c>
      <c r="L207" s="5">
        <f t="shared" si="46"/>
        <v>0</v>
      </c>
      <c r="M207" s="5">
        <v>0</v>
      </c>
      <c r="N207" s="6">
        <f t="shared" si="47"/>
        <v>200000</v>
      </c>
    </row>
    <row r="208" spans="1:14" x14ac:dyDescent="0.45">
      <c r="A208" s="10">
        <f t="shared" si="41"/>
        <v>207</v>
      </c>
      <c r="B208" s="5" t="s">
        <v>274</v>
      </c>
      <c r="C208" s="5" t="s">
        <v>354</v>
      </c>
      <c r="D208" s="5">
        <f t="shared" si="42"/>
        <v>5000</v>
      </c>
      <c r="E208" s="5">
        <v>1</v>
      </c>
      <c r="F208" s="5">
        <f t="shared" si="43"/>
        <v>0</v>
      </c>
      <c r="G208" s="5">
        <v>0</v>
      </c>
      <c r="H208" s="5">
        <f t="shared" si="44"/>
        <v>20000</v>
      </c>
      <c r="I208" s="5">
        <v>1</v>
      </c>
      <c r="J208" s="5">
        <f t="shared" si="45"/>
        <v>80000</v>
      </c>
      <c r="K208" s="5">
        <v>4</v>
      </c>
      <c r="L208" s="5">
        <f t="shared" si="46"/>
        <v>0</v>
      </c>
      <c r="M208" s="5">
        <v>0</v>
      </c>
      <c r="N208" s="6">
        <f t="shared" si="47"/>
        <v>95000</v>
      </c>
    </row>
    <row r="209" spans="1:14" x14ac:dyDescent="0.45">
      <c r="A209" s="10">
        <f t="shared" si="41"/>
        <v>208</v>
      </c>
      <c r="B209" s="5" t="s">
        <v>275</v>
      </c>
      <c r="C209" s="5" t="s">
        <v>354</v>
      </c>
      <c r="D209" s="5">
        <f t="shared" si="42"/>
        <v>0</v>
      </c>
      <c r="E209" s="5">
        <v>0</v>
      </c>
      <c r="F209" s="5">
        <f t="shared" si="43"/>
        <v>0</v>
      </c>
      <c r="G209" s="5">
        <v>0</v>
      </c>
      <c r="H209" s="5">
        <f t="shared" si="44"/>
        <v>0</v>
      </c>
      <c r="I209" s="5">
        <v>0</v>
      </c>
      <c r="J209" s="5">
        <f t="shared" si="45"/>
        <v>20000</v>
      </c>
      <c r="K209" s="5">
        <v>1</v>
      </c>
      <c r="L209" s="5">
        <f t="shared" si="46"/>
        <v>30000</v>
      </c>
      <c r="M209" s="5">
        <v>1</v>
      </c>
      <c r="N209" s="6">
        <f t="shared" si="47"/>
        <v>150000</v>
      </c>
    </row>
    <row r="210" spans="1:14" x14ac:dyDescent="0.45">
      <c r="A210" s="10">
        <f t="shared" si="41"/>
        <v>209</v>
      </c>
      <c r="B210" s="5" t="s">
        <v>276</v>
      </c>
      <c r="C210" s="5" t="s">
        <v>354</v>
      </c>
      <c r="D210" s="5">
        <f t="shared" si="42"/>
        <v>0</v>
      </c>
      <c r="E210" s="5">
        <v>0</v>
      </c>
      <c r="F210" s="5">
        <f t="shared" si="43"/>
        <v>0</v>
      </c>
      <c r="G210" s="5">
        <v>0</v>
      </c>
      <c r="H210" s="5">
        <f t="shared" si="44"/>
        <v>20000</v>
      </c>
      <c r="I210" s="5">
        <v>1</v>
      </c>
      <c r="J210" s="5">
        <f t="shared" si="45"/>
        <v>0</v>
      </c>
      <c r="K210" s="5">
        <v>0</v>
      </c>
      <c r="L210" s="5">
        <f t="shared" si="46"/>
        <v>0</v>
      </c>
      <c r="M210" s="5">
        <v>0</v>
      </c>
      <c r="N210" s="6">
        <f t="shared" si="47"/>
        <v>180000</v>
      </c>
    </row>
    <row r="211" spans="1:14" x14ac:dyDescent="0.45">
      <c r="A211" s="10">
        <f t="shared" si="41"/>
        <v>210</v>
      </c>
      <c r="B211" s="5" t="s">
        <v>277</v>
      </c>
      <c r="C211" s="5" t="s">
        <v>354</v>
      </c>
      <c r="D211" s="5">
        <f t="shared" si="42"/>
        <v>0</v>
      </c>
      <c r="E211" s="5">
        <v>0</v>
      </c>
      <c r="F211" s="5">
        <f t="shared" si="43"/>
        <v>0</v>
      </c>
      <c r="G211" s="5">
        <v>0</v>
      </c>
      <c r="H211" s="5">
        <f t="shared" si="44"/>
        <v>0</v>
      </c>
      <c r="I211" s="5">
        <v>0</v>
      </c>
      <c r="J211" s="5">
        <f t="shared" si="45"/>
        <v>0</v>
      </c>
      <c r="K211" s="5">
        <v>0</v>
      </c>
      <c r="L211" s="5">
        <f t="shared" si="46"/>
        <v>0</v>
      </c>
      <c r="M211" s="5">
        <v>0</v>
      </c>
      <c r="N211" s="6">
        <f t="shared" si="47"/>
        <v>200000</v>
      </c>
    </row>
    <row r="212" spans="1:14" x14ac:dyDescent="0.45">
      <c r="A212" s="10">
        <f t="shared" si="41"/>
        <v>211</v>
      </c>
      <c r="B212" s="5" t="s">
        <v>278</v>
      </c>
      <c r="C212" s="5" t="s">
        <v>354</v>
      </c>
      <c r="D212" s="5">
        <f t="shared" si="42"/>
        <v>45000</v>
      </c>
      <c r="E212" s="5">
        <v>9</v>
      </c>
      <c r="F212" s="5">
        <f t="shared" si="43"/>
        <v>0</v>
      </c>
      <c r="G212" s="5">
        <v>0</v>
      </c>
      <c r="H212" s="5">
        <f t="shared" si="44"/>
        <v>0</v>
      </c>
      <c r="I212" s="5">
        <v>0</v>
      </c>
      <c r="J212" s="5">
        <f t="shared" si="45"/>
        <v>180000</v>
      </c>
      <c r="K212" s="5">
        <v>9</v>
      </c>
      <c r="L212" s="5">
        <f t="shared" si="46"/>
        <v>0</v>
      </c>
      <c r="M212" s="5">
        <v>0</v>
      </c>
      <c r="N212" s="6">
        <f t="shared" si="47"/>
        <v>-25000</v>
      </c>
    </row>
    <row r="213" spans="1:14" x14ac:dyDescent="0.45">
      <c r="A213" s="10">
        <f>ROW(A213)-1</f>
        <v>212</v>
      </c>
      <c r="B213" s="5" t="s">
        <v>279</v>
      </c>
      <c r="C213" s="5" t="s">
        <v>354</v>
      </c>
      <c r="D213" s="5">
        <f t="shared" si="42"/>
        <v>0</v>
      </c>
      <c r="E213" s="5">
        <v>0</v>
      </c>
      <c r="F213" s="5">
        <f>G213*100000</f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f t="shared" si="46"/>
        <v>0</v>
      </c>
      <c r="M213" s="5">
        <v>0</v>
      </c>
      <c r="N213" s="6">
        <f t="shared" si="47"/>
        <v>200000</v>
      </c>
    </row>
    <row r="214" spans="1:14" x14ac:dyDescent="0.45">
      <c r="A214" s="10">
        <f t="shared" ref="A214:A242" si="48">ROW(A214)-1</f>
        <v>213</v>
      </c>
      <c r="B214" s="5" t="s">
        <v>280</v>
      </c>
      <c r="C214" s="5" t="s">
        <v>354</v>
      </c>
      <c r="D214" s="5">
        <f t="shared" si="42"/>
        <v>0</v>
      </c>
      <c r="E214" s="5">
        <v>0</v>
      </c>
      <c r="F214" s="5">
        <f t="shared" ref="F214:F243" si="49">G214*100000</f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f t="shared" si="46"/>
        <v>0</v>
      </c>
      <c r="M214" s="5">
        <v>0</v>
      </c>
      <c r="N214" s="6">
        <f t="shared" si="47"/>
        <v>200000</v>
      </c>
    </row>
    <row r="215" spans="1:14" x14ac:dyDescent="0.45">
      <c r="A215" s="10">
        <f t="shared" si="48"/>
        <v>214</v>
      </c>
      <c r="B215" s="5" t="s">
        <v>281</v>
      </c>
      <c r="C215" s="5" t="s">
        <v>354</v>
      </c>
      <c r="D215" s="5">
        <f t="shared" si="42"/>
        <v>0</v>
      </c>
      <c r="E215" s="5">
        <v>0</v>
      </c>
      <c r="F215" s="5">
        <f t="shared" si="49"/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f t="shared" si="46"/>
        <v>0</v>
      </c>
      <c r="M215" s="5">
        <v>0</v>
      </c>
      <c r="N215" s="6">
        <f t="shared" si="47"/>
        <v>200000</v>
      </c>
    </row>
    <row r="216" spans="1:14" x14ac:dyDescent="0.45">
      <c r="A216" s="10">
        <f t="shared" si="48"/>
        <v>215</v>
      </c>
      <c r="B216" s="5" t="s">
        <v>282</v>
      </c>
      <c r="C216" s="5" t="s">
        <v>354</v>
      </c>
      <c r="D216" s="5">
        <f t="shared" si="42"/>
        <v>0</v>
      </c>
      <c r="E216" s="5">
        <v>0</v>
      </c>
      <c r="F216" s="5">
        <f t="shared" si="49"/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f t="shared" si="46"/>
        <v>0</v>
      </c>
      <c r="M216" s="5">
        <v>0</v>
      </c>
      <c r="N216" s="6">
        <f t="shared" si="47"/>
        <v>200000</v>
      </c>
    </row>
    <row r="217" spans="1:14" x14ac:dyDescent="0.45">
      <c r="A217" s="10">
        <f t="shared" si="48"/>
        <v>216</v>
      </c>
      <c r="B217" s="5" t="s">
        <v>283</v>
      </c>
      <c r="C217" s="5" t="s">
        <v>354</v>
      </c>
      <c r="D217" s="5">
        <f t="shared" si="42"/>
        <v>0</v>
      </c>
      <c r="E217" s="5">
        <v>0</v>
      </c>
      <c r="F217" s="5">
        <f t="shared" si="49"/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f t="shared" si="46"/>
        <v>0</v>
      </c>
      <c r="M217" s="5">
        <v>0</v>
      </c>
      <c r="N217" s="6">
        <f t="shared" si="47"/>
        <v>200000</v>
      </c>
    </row>
    <row r="218" spans="1:14" x14ac:dyDescent="0.45">
      <c r="A218" s="10">
        <f t="shared" si="48"/>
        <v>217</v>
      </c>
      <c r="B218" s="5" t="s">
        <v>284</v>
      </c>
      <c r="C218" s="5" t="s">
        <v>354</v>
      </c>
      <c r="D218" s="5">
        <f t="shared" si="42"/>
        <v>0</v>
      </c>
      <c r="E218" s="5">
        <v>0</v>
      </c>
      <c r="F218" s="5">
        <f t="shared" si="49"/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f t="shared" si="46"/>
        <v>0</v>
      </c>
      <c r="M218" s="5">
        <v>0</v>
      </c>
      <c r="N218" s="6">
        <f t="shared" si="47"/>
        <v>200000</v>
      </c>
    </row>
    <row r="219" spans="1:14" x14ac:dyDescent="0.45">
      <c r="A219" s="10">
        <f t="shared" si="48"/>
        <v>218</v>
      </c>
      <c r="B219" s="5" t="s">
        <v>285</v>
      </c>
      <c r="C219" s="5" t="s">
        <v>354</v>
      </c>
      <c r="D219" s="5">
        <f t="shared" si="42"/>
        <v>0</v>
      </c>
      <c r="E219" s="5">
        <v>0</v>
      </c>
      <c r="F219" s="5">
        <f t="shared" si="49"/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f t="shared" si="46"/>
        <v>0</v>
      </c>
      <c r="M219" s="5">
        <v>0</v>
      </c>
      <c r="N219" s="6">
        <f t="shared" si="47"/>
        <v>200000</v>
      </c>
    </row>
    <row r="220" spans="1:14" x14ac:dyDescent="0.45">
      <c r="A220" s="10">
        <f t="shared" si="48"/>
        <v>219</v>
      </c>
      <c r="B220" s="5" t="s">
        <v>286</v>
      </c>
      <c r="C220" s="5" t="s">
        <v>354</v>
      </c>
      <c r="D220" s="5">
        <f t="shared" si="42"/>
        <v>0</v>
      </c>
      <c r="E220" s="5">
        <v>0</v>
      </c>
      <c r="F220" s="5">
        <f t="shared" si="49"/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f t="shared" si="46"/>
        <v>0</v>
      </c>
      <c r="M220" s="5">
        <v>0</v>
      </c>
      <c r="N220" s="6">
        <f t="shared" si="47"/>
        <v>200000</v>
      </c>
    </row>
    <row r="221" spans="1:14" x14ac:dyDescent="0.45">
      <c r="A221" s="10">
        <f t="shared" si="48"/>
        <v>220</v>
      </c>
      <c r="B221" s="5" t="s">
        <v>287</v>
      </c>
      <c r="C221" s="5" t="s">
        <v>354</v>
      </c>
      <c r="D221" s="5">
        <f t="shared" si="42"/>
        <v>0</v>
      </c>
      <c r="E221" s="5">
        <v>0</v>
      </c>
      <c r="F221" s="5">
        <f t="shared" si="49"/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f t="shared" si="46"/>
        <v>0</v>
      </c>
      <c r="M221" s="5">
        <v>0</v>
      </c>
      <c r="N221" s="6">
        <f t="shared" si="47"/>
        <v>200000</v>
      </c>
    </row>
    <row r="222" spans="1:14" x14ac:dyDescent="0.45">
      <c r="A222" s="10">
        <f t="shared" si="48"/>
        <v>221</v>
      </c>
      <c r="B222" s="5" t="s">
        <v>288</v>
      </c>
      <c r="C222" s="5" t="s">
        <v>354</v>
      </c>
      <c r="D222" s="5">
        <f t="shared" si="42"/>
        <v>0</v>
      </c>
      <c r="E222" s="5">
        <v>0</v>
      </c>
      <c r="F222" s="5">
        <f t="shared" si="49"/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f t="shared" si="46"/>
        <v>0</v>
      </c>
      <c r="M222" s="5">
        <v>0</v>
      </c>
      <c r="N222" s="6">
        <f t="shared" si="47"/>
        <v>200000</v>
      </c>
    </row>
    <row r="223" spans="1:14" x14ac:dyDescent="0.45">
      <c r="A223" s="10">
        <f t="shared" si="48"/>
        <v>222</v>
      </c>
      <c r="B223" s="5" t="s">
        <v>289</v>
      </c>
      <c r="C223" s="5" t="s">
        <v>354</v>
      </c>
      <c r="D223" s="5">
        <f t="shared" si="42"/>
        <v>0</v>
      </c>
      <c r="E223" s="5">
        <v>0</v>
      </c>
      <c r="F223" s="5">
        <f t="shared" si="49"/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f t="shared" si="46"/>
        <v>0</v>
      </c>
      <c r="M223" s="5">
        <v>0</v>
      </c>
      <c r="N223" s="6">
        <f t="shared" si="47"/>
        <v>200000</v>
      </c>
    </row>
    <row r="224" spans="1:14" x14ac:dyDescent="0.45">
      <c r="A224" s="10">
        <f t="shared" si="48"/>
        <v>223</v>
      </c>
      <c r="B224" s="5" t="s">
        <v>290</v>
      </c>
      <c r="C224" s="5" t="s">
        <v>354</v>
      </c>
      <c r="D224" s="5">
        <f t="shared" si="42"/>
        <v>0</v>
      </c>
      <c r="E224" s="5">
        <v>0</v>
      </c>
      <c r="F224" s="5">
        <f t="shared" si="49"/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f t="shared" si="46"/>
        <v>0</v>
      </c>
      <c r="M224" s="5">
        <v>0</v>
      </c>
      <c r="N224" s="6">
        <f t="shared" si="47"/>
        <v>200000</v>
      </c>
    </row>
    <row r="225" spans="1:14" x14ac:dyDescent="0.45">
      <c r="A225" s="10">
        <f t="shared" si="48"/>
        <v>224</v>
      </c>
      <c r="B225" s="5" t="s">
        <v>291</v>
      </c>
      <c r="C225" s="5" t="s">
        <v>354</v>
      </c>
      <c r="D225" s="5">
        <f t="shared" si="42"/>
        <v>0</v>
      </c>
      <c r="E225" s="5">
        <v>0</v>
      </c>
      <c r="F225" s="5">
        <f t="shared" si="49"/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f t="shared" si="46"/>
        <v>0</v>
      </c>
      <c r="M225" s="5">
        <v>0</v>
      </c>
      <c r="N225" s="6">
        <f t="shared" si="47"/>
        <v>200000</v>
      </c>
    </row>
    <row r="226" spans="1:14" x14ac:dyDescent="0.45">
      <c r="A226" s="10">
        <f t="shared" si="48"/>
        <v>225</v>
      </c>
      <c r="B226" s="5" t="s">
        <v>292</v>
      </c>
      <c r="C226" s="5" t="s">
        <v>354</v>
      </c>
      <c r="D226" s="5">
        <f t="shared" si="42"/>
        <v>0</v>
      </c>
      <c r="E226" s="5">
        <v>0</v>
      </c>
      <c r="F226" s="5">
        <f t="shared" si="49"/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f t="shared" si="46"/>
        <v>0</v>
      </c>
      <c r="M226" s="5">
        <v>0</v>
      </c>
      <c r="N226" s="6">
        <f t="shared" si="47"/>
        <v>200000</v>
      </c>
    </row>
    <row r="227" spans="1:14" x14ac:dyDescent="0.45">
      <c r="A227" s="10">
        <f t="shared" si="48"/>
        <v>226</v>
      </c>
      <c r="B227" s="5" t="s">
        <v>293</v>
      </c>
      <c r="C227" s="5" t="s">
        <v>354</v>
      </c>
      <c r="D227" s="5">
        <f t="shared" si="42"/>
        <v>0</v>
      </c>
      <c r="E227" s="5">
        <v>0</v>
      </c>
      <c r="F227" s="5">
        <f t="shared" si="49"/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f t="shared" si="46"/>
        <v>0</v>
      </c>
      <c r="M227" s="5">
        <v>0</v>
      </c>
      <c r="N227" s="6">
        <f t="shared" si="47"/>
        <v>200000</v>
      </c>
    </row>
    <row r="228" spans="1:14" x14ac:dyDescent="0.45">
      <c r="A228" s="10">
        <f t="shared" si="48"/>
        <v>227</v>
      </c>
      <c r="B228" s="5" t="s">
        <v>294</v>
      </c>
      <c r="C228" s="5" t="s">
        <v>354</v>
      </c>
      <c r="D228" s="5">
        <f t="shared" si="42"/>
        <v>0</v>
      </c>
      <c r="E228" s="5">
        <v>0</v>
      </c>
      <c r="F228" s="5">
        <f t="shared" si="49"/>
        <v>0</v>
      </c>
      <c r="G228" s="5">
        <v>0</v>
      </c>
      <c r="H228" s="5">
        <f t="shared" ref="H228:H243" si="50">I228*20000</f>
        <v>20000</v>
      </c>
      <c r="I228" s="5">
        <v>1</v>
      </c>
      <c r="J228" s="5">
        <f t="shared" ref="J228:J243" si="51">K228*20000</f>
        <v>40000</v>
      </c>
      <c r="K228" s="5">
        <v>2</v>
      </c>
      <c r="L228" s="5">
        <f t="shared" si="46"/>
        <v>0</v>
      </c>
      <c r="M228" s="5">
        <v>0</v>
      </c>
      <c r="N228" s="6">
        <f t="shared" si="47"/>
        <v>140000</v>
      </c>
    </row>
    <row r="229" spans="1:14" x14ac:dyDescent="0.45">
      <c r="A229" s="10">
        <f t="shared" si="48"/>
        <v>228</v>
      </c>
      <c r="B229" s="5" t="s">
        <v>295</v>
      </c>
      <c r="C229" s="5" t="s">
        <v>354</v>
      </c>
      <c r="D229" s="5">
        <f t="shared" si="42"/>
        <v>0</v>
      </c>
      <c r="E229" s="5">
        <v>0</v>
      </c>
      <c r="F229" s="5">
        <f t="shared" si="49"/>
        <v>0</v>
      </c>
      <c r="G229" s="5">
        <v>0</v>
      </c>
      <c r="H229" s="5">
        <f t="shared" si="50"/>
        <v>0</v>
      </c>
      <c r="I229" s="5">
        <v>0</v>
      </c>
      <c r="J229" s="5">
        <f t="shared" si="51"/>
        <v>0</v>
      </c>
      <c r="K229" s="5">
        <v>0</v>
      </c>
      <c r="L229" s="5">
        <f t="shared" si="46"/>
        <v>0</v>
      </c>
      <c r="M229" s="5">
        <v>0</v>
      </c>
      <c r="N229" s="6">
        <f t="shared" si="47"/>
        <v>200000</v>
      </c>
    </row>
    <row r="230" spans="1:14" x14ac:dyDescent="0.45">
      <c r="A230" s="10">
        <f t="shared" si="48"/>
        <v>229</v>
      </c>
      <c r="B230" s="5" t="s">
        <v>296</v>
      </c>
      <c r="C230" s="5" t="s">
        <v>354</v>
      </c>
      <c r="D230" s="5">
        <f t="shared" si="42"/>
        <v>0</v>
      </c>
      <c r="E230" s="5">
        <v>0</v>
      </c>
      <c r="F230" s="5">
        <f t="shared" si="49"/>
        <v>0</v>
      </c>
      <c r="G230" s="5">
        <v>0</v>
      </c>
      <c r="H230" s="5">
        <f t="shared" si="50"/>
        <v>0</v>
      </c>
      <c r="I230" s="5">
        <v>0</v>
      </c>
      <c r="J230" s="5">
        <f t="shared" si="51"/>
        <v>20000</v>
      </c>
      <c r="K230" s="5">
        <v>1</v>
      </c>
      <c r="L230" s="5">
        <f t="shared" si="46"/>
        <v>0</v>
      </c>
      <c r="M230" s="5">
        <v>0</v>
      </c>
      <c r="N230" s="6">
        <f t="shared" si="47"/>
        <v>180000</v>
      </c>
    </row>
    <row r="231" spans="1:14" x14ac:dyDescent="0.45">
      <c r="A231" s="10">
        <f t="shared" si="48"/>
        <v>230</v>
      </c>
      <c r="B231" s="5" t="s">
        <v>297</v>
      </c>
      <c r="C231" s="5" t="s">
        <v>354</v>
      </c>
      <c r="D231" s="5">
        <f t="shared" si="42"/>
        <v>0</v>
      </c>
      <c r="E231" s="5">
        <v>0</v>
      </c>
      <c r="F231" s="5">
        <f t="shared" si="49"/>
        <v>0</v>
      </c>
      <c r="G231" s="5">
        <v>0</v>
      </c>
      <c r="H231" s="5">
        <f t="shared" si="50"/>
        <v>0</v>
      </c>
      <c r="I231" s="5">
        <v>0</v>
      </c>
      <c r="J231" s="5">
        <f t="shared" si="51"/>
        <v>0</v>
      </c>
      <c r="K231" s="5">
        <v>0</v>
      </c>
      <c r="L231" s="5">
        <f t="shared" si="46"/>
        <v>0</v>
      </c>
      <c r="M231" s="5">
        <v>0</v>
      </c>
      <c r="N231" s="6">
        <f t="shared" si="47"/>
        <v>200000</v>
      </c>
    </row>
    <row r="232" spans="1:14" x14ac:dyDescent="0.45">
      <c r="A232" s="10">
        <f t="shared" si="48"/>
        <v>231</v>
      </c>
      <c r="B232" s="5" t="s">
        <v>298</v>
      </c>
      <c r="C232" s="5" t="s">
        <v>354</v>
      </c>
      <c r="D232" s="5">
        <f t="shared" si="42"/>
        <v>0</v>
      </c>
      <c r="E232" s="5">
        <v>0</v>
      </c>
      <c r="F232" s="5">
        <f t="shared" si="49"/>
        <v>0</v>
      </c>
      <c r="G232" s="5">
        <v>0</v>
      </c>
      <c r="H232" s="5">
        <f t="shared" si="50"/>
        <v>0</v>
      </c>
      <c r="I232" s="5">
        <v>0</v>
      </c>
      <c r="J232" s="5">
        <f t="shared" si="51"/>
        <v>0</v>
      </c>
      <c r="K232" s="5">
        <v>0</v>
      </c>
      <c r="L232" s="5">
        <f t="shared" si="46"/>
        <v>0</v>
      </c>
      <c r="M232" s="5">
        <v>0</v>
      </c>
      <c r="N232" s="6">
        <f t="shared" si="47"/>
        <v>200000</v>
      </c>
    </row>
    <row r="233" spans="1:14" x14ac:dyDescent="0.45">
      <c r="A233" s="10">
        <f t="shared" si="48"/>
        <v>232</v>
      </c>
      <c r="B233" s="5" t="s">
        <v>299</v>
      </c>
      <c r="C233" s="5" t="s">
        <v>354</v>
      </c>
      <c r="D233" s="5">
        <f t="shared" si="42"/>
        <v>0</v>
      </c>
      <c r="E233" s="5">
        <v>0</v>
      </c>
      <c r="F233" s="5">
        <f t="shared" si="49"/>
        <v>0</v>
      </c>
      <c r="G233" s="5">
        <v>0</v>
      </c>
      <c r="H233" s="5">
        <f t="shared" si="50"/>
        <v>0</v>
      </c>
      <c r="I233" s="5">
        <v>0</v>
      </c>
      <c r="J233" s="5">
        <f t="shared" si="51"/>
        <v>80000</v>
      </c>
      <c r="K233" s="5">
        <v>4</v>
      </c>
      <c r="L233" s="5">
        <f t="shared" si="46"/>
        <v>0</v>
      </c>
      <c r="M233" s="5">
        <v>0</v>
      </c>
      <c r="N233" s="6">
        <f t="shared" si="47"/>
        <v>120000</v>
      </c>
    </row>
    <row r="234" spans="1:14" x14ac:dyDescent="0.45">
      <c r="A234" s="10">
        <f t="shared" si="48"/>
        <v>233</v>
      </c>
      <c r="B234" s="5" t="s">
        <v>300</v>
      </c>
      <c r="C234" s="5" t="s">
        <v>354</v>
      </c>
      <c r="D234" s="5">
        <f t="shared" si="42"/>
        <v>0</v>
      </c>
      <c r="E234" s="5">
        <v>0</v>
      </c>
      <c r="F234" s="5">
        <f t="shared" si="49"/>
        <v>0</v>
      </c>
      <c r="G234" s="5">
        <v>0</v>
      </c>
      <c r="H234" s="5">
        <f t="shared" si="50"/>
        <v>0</v>
      </c>
      <c r="I234" s="5">
        <v>0</v>
      </c>
      <c r="J234" s="5">
        <f t="shared" si="51"/>
        <v>0</v>
      </c>
      <c r="K234" s="5">
        <v>0</v>
      </c>
      <c r="L234" s="5">
        <f t="shared" si="46"/>
        <v>30000</v>
      </c>
      <c r="M234" s="5">
        <v>1</v>
      </c>
      <c r="N234" s="6">
        <f t="shared" si="47"/>
        <v>170000</v>
      </c>
    </row>
    <row r="235" spans="1:14" x14ac:dyDescent="0.45">
      <c r="A235" s="10">
        <f t="shared" si="48"/>
        <v>234</v>
      </c>
      <c r="B235" s="5" t="s">
        <v>301</v>
      </c>
      <c r="C235" s="5" t="s">
        <v>354</v>
      </c>
      <c r="D235" s="5">
        <f t="shared" si="42"/>
        <v>0</v>
      </c>
      <c r="E235" s="5">
        <v>0</v>
      </c>
      <c r="F235" s="5">
        <f t="shared" si="49"/>
        <v>0</v>
      </c>
      <c r="G235" s="5">
        <v>0</v>
      </c>
      <c r="H235" s="5">
        <f t="shared" si="50"/>
        <v>0</v>
      </c>
      <c r="I235" s="5">
        <v>0</v>
      </c>
      <c r="J235" s="5">
        <f t="shared" si="51"/>
        <v>0</v>
      </c>
      <c r="K235" s="5">
        <v>0</v>
      </c>
      <c r="L235" s="5">
        <f t="shared" si="46"/>
        <v>0</v>
      </c>
      <c r="M235" s="5">
        <v>0</v>
      </c>
      <c r="N235" s="6">
        <f t="shared" si="47"/>
        <v>200000</v>
      </c>
    </row>
    <row r="236" spans="1:14" x14ac:dyDescent="0.45">
      <c r="A236" s="10">
        <f t="shared" si="48"/>
        <v>235</v>
      </c>
      <c r="B236" s="5" t="s">
        <v>302</v>
      </c>
      <c r="C236" s="5" t="s">
        <v>354</v>
      </c>
      <c r="D236" s="5">
        <f t="shared" si="42"/>
        <v>0</v>
      </c>
      <c r="E236" s="5">
        <v>0</v>
      </c>
      <c r="F236" s="5">
        <f t="shared" si="49"/>
        <v>0</v>
      </c>
      <c r="G236" s="5">
        <v>0</v>
      </c>
      <c r="H236" s="5">
        <f t="shared" si="50"/>
        <v>0</v>
      </c>
      <c r="I236" s="5">
        <v>0</v>
      </c>
      <c r="J236" s="5">
        <f t="shared" si="51"/>
        <v>0</v>
      </c>
      <c r="K236" s="5">
        <v>0</v>
      </c>
      <c r="L236" s="5">
        <f t="shared" si="46"/>
        <v>0</v>
      </c>
      <c r="M236" s="5">
        <v>0</v>
      </c>
      <c r="N236" s="6">
        <f t="shared" si="47"/>
        <v>200000</v>
      </c>
    </row>
    <row r="237" spans="1:14" x14ac:dyDescent="0.45">
      <c r="A237" s="10">
        <f t="shared" si="48"/>
        <v>236</v>
      </c>
      <c r="B237" s="5" t="s">
        <v>303</v>
      </c>
      <c r="C237" s="5" t="s">
        <v>354</v>
      </c>
      <c r="D237" s="5">
        <f t="shared" si="42"/>
        <v>0</v>
      </c>
      <c r="E237" s="5">
        <v>0</v>
      </c>
      <c r="F237" s="5">
        <f t="shared" si="49"/>
        <v>0</v>
      </c>
      <c r="G237" s="5">
        <v>0</v>
      </c>
      <c r="H237" s="5">
        <f t="shared" si="50"/>
        <v>0</v>
      </c>
      <c r="I237" s="5">
        <v>0</v>
      </c>
      <c r="J237" s="5">
        <f t="shared" si="51"/>
        <v>0</v>
      </c>
      <c r="K237" s="5">
        <v>0</v>
      </c>
      <c r="L237" s="5">
        <f t="shared" si="46"/>
        <v>30000</v>
      </c>
      <c r="M237" s="5">
        <v>1</v>
      </c>
      <c r="N237" s="6">
        <f t="shared" si="47"/>
        <v>170000</v>
      </c>
    </row>
    <row r="238" spans="1:14" x14ac:dyDescent="0.45">
      <c r="A238" s="10">
        <f t="shared" si="48"/>
        <v>237</v>
      </c>
      <c r="B238" s="5" t="s">
        <v>304</v>
      </c>
      <c r="C238" s="5" t="s">
        <v>354</v>
      </c>
      <c r="D238" s="5">
        <f t="shared" si="42"/>
        <v>0</v>
      </c>
      <c r="E238" s="5">
        <v>0</v>
      </c>
      <c r="F238" s="5">
        <f t="shared" si="49"/>
        <v>0</v>
      </c>
      <c r="G238" s="5">
        <v>0</v>
      </c>
      <c r="H238" s="5">
        <f t="shared" si="50"/>
        <v>0</v>
      </c>
      <c r="I238" s="5">
        <v>0</v>
      </c>
      <c r="J238" s="5">
        <f t="shared" si="51"/>
        <v>20000</v>
      </c>
      <c r="K238" s="5">
        <v>1</v>
      </c>
      <c r="L238" s="5">
        <f t="shared" si="46"/>
        <v>0</v>
      </c>
      <c r="M238" s="5">
        <v>0</v>
      </c>
      <c r="N238" s="6">
        <f t="shared" si="47"/>
        <v>180000</v>
      </c>
    </row>
    <row r="239" spans="1:14" x14ac:dyDescent="0.45">
      <c r="A239" s="10">
        <f t="shared" si="48"/>
        <v>238</v>
      </c>
      <c r="B239" s="5" t="s">
        <v>305</v>
      </c>
      <c r="C239" s="5" t="s">
        <v>354</v>
      </c>
      <c r="D239" s="5">
        <f t="shared" si="42"/>
        <v>0</v>
      </c>
      <c r="E239" s="5">
        <v>0</v>
      </c>
      <c r="F239" s="5">
        <f t="shared" si="49"/>
        <v>0</v>
      </c>
      <c r="G239" s="5">
        <v>0</v>
      </c>
      <c r="H239" s="5">
        <f t="shared" si="50"/>
        <v>20000</v>
      </c>
      <c r="I239" s="5">
        <v>1</v>
      </c>
      <c r="J239" s="5">
        <f t="shared" si="51"/>
        <v>0</v>
      </c>
      <c r="K239" s="5">
        <v>0</v>
      </c>
      <c r="L239" s="5">
        <f t="shared" si="46"/>
        <v>0</v>
      </c>
      <c r="M239" s="5">
        <v>0</v>
      </c>
      <c r="N239" s="6">
        <f t="shared" si="47"/>
        <v>180000</v>
      </c>
    </row>
    <row r="240" spans="1:14" x14ac:dyDescent="0.45">
      <c r="A240" s="10">
        <f t="shared" si="48"/>
        <v>239</v>
      </c>
      <c r="B240" s="5" t="s">
        <v>306</v>
      </c>
      <c r="C240" s="5" t="s">
        <v>354</v>
      </c>
      <c r="D240" s="5">
        <f t="shared" si="42"/>
        <v>0</v>
      </c>
      <c r="E240" s="5">
        <v>0</v>
      </c>
      <c r="F240" s="5">
        <f t="shared" si="49"/>
        <v>0</v>
      </c>
      <c r="G240" s="5">
        <v>0</v>
      </c>
      <c r="H240" s="5">
        <f t="shared" si="50"/>
        <v>0</v>
      </c>
      <c r="I240" s="5">
        <v>0</v>
      </c>
      <c r="J240" s="5">
        <f t="shared" si="51"/>
        <v>0</v>
      </c>
      <c r="K240" s="5">
        <v>0</v>
      </c>
      <c r="L240" s="5">
        <f t="shared" si="46"/>
        <v>0</v>
      </c>
      <c r="M240" s="5">
        <v>0</v>
      </c>
      <c r="N240" s="6">
        <f t="shared" si="47"/>
        <v>200000</v>
      </c>
    </row>
    <row r="241" spans="1:14" x14ac:dyDescent="0.45">
      <c r="A241" s="10">
        <f t="shared" si="48"/>
        <v>240</v>
      </c>
      <c r="B241" s="5" t="s">
        <v>307</v>
      </c>
      <c r="C241" s="5" t="s">
        <v>354</v>
      </c>
      <c r="D241" s="5">
        <f t="shared" si="42"/>
        <v>0</v>
      </c>
      <c r="E241" s="5">
        <v>0</v>
      </c>
      <c r="F241" s="5">
        <f t="shared" si="49"/>
        <v>0</v>
      </c>
      <c r="G241" s="5">
        <v>0</v>
      </c>
      <c r="H241" s="5">
        <f t="shared" si="50"/>
        <v>40000</v>
      </c>
      <c r="I241" s="5">
        <v>2</v>
      </c>
      <c r="J241" s="5">
        <f t="shared" si="51"/>
        <v>0</v>
      </c>
      <c r="K241" s="5">
        <v>0</v>
      </c>
      <c r="L241" s="5">
        <f t="shared" si="46"/>
        <v>30000</v>
      </c>
      <c r="M241" s="5">
        <v>1</v>
      </c>
      <c r="N241" s="6">
        <f t="shared" si="47"/>
        <v>130000</v>
      </c>
    </row>
    <row r="242" spans="1:14" x14ac:dyDescent="0.45">
      <c r="A242" s="10">
        <f t="shared" si="48"/>
        <v>241</v>
      </c>
      <c r="B242" s="5" t="s">
        <v>308</v>
      </c>
      <c r="C242" s="5" t="s">
        <v>354</v>
      </c>
      <c r="D242" s="5">
        <f t="shared" si="42"/>
        <v>0</v>
      </c>
      <c r="E242" s="5">
        <v>0</v>
      </c>
      <c r="F242" s="5">
        <f t="shared" si="49"/>
        <v>0</v>
      </c>
      <c r="G242" s="5">
        <v>0</v>
      </c>
      <c r="H242" s="5">
        <f t="shared" si="50"/>
        <v>0</v>
      </c>
      <c r="I242" s="5">
        <v>0</v>
      </c>
      <c r="J242" s="5">
        <f t="shared" si="51"/>
        <v>20000</v>
      </c>
      <c r="K242" s="5">
        <v>1</v>
      </c>
      <c r="L242" s="5">
        <f t="shared" si="46"/>
        <v>0</v>
      </c>
      <c r="M242" s="5">
        <v>0</v>
      </c>
      <c r="N242" s="6">
        <f t="shared" si="47"/>
        <v>180000</v>
      </c>
    </row>
    <row r="243" spans="1:14" x14ac:dyDescent="0.45">
      <c r="A243" s="10">
        <f>ROW(A243)-1</f>
        <v>242</v>
      </c>
      <c r="B243" s="5" t="s">
        <v>309</v>
      </c>
      <c r="C243" s="5" t="s">
        <v>354</v>
      </c>
      <c r="D243" s="5">
        <f t="shared" si="42"/>
        <v>0</v>
      </c>
      <c r="E243" s="5">
        <v>0</v>
      </c>
      <c r="F243" s="5">
        <f t="shared" si="49"/>
        <v>0</v>
      </c>
      <c r="G243" s="5">
        <v>0</v>
      </c>
      <c r="H243" s="5">
        <f t="shared" si="50"/>
        <v>0</v>
      </c>
      <c r="I243" s="5">
        <v>0</v>
      </c>
      <c r="J243" s="5">
        <f t="shared" si="51"/>
        <v>20000</v>
      </c>
      <c r="K243" s="5">
        <v>1</v>
      </c>
      <c r="L243" s="5">
        <f t="shared" si="46"/>
        <v>0</v>
      </c>
      <c r="M243" s="5">
        <v>0</v>
      </c>
      <c r="N243" s="6">
        <f>200000-L243-J243-H243-F243-D243</f>
        <v>180000</v>
      </c>
    </row>
    <row r="244" spans="1:14" x14ac:dyDescent="0.45">
      <c r="A244" s="10">
        <f>ROW(A244)-1</f>
        <v>243</v>
      </c>
      <c r="B244" s="5" t="s">
        <v>310</v>
      </c>
      <c r="C244" s="5" t="s">
        <v>354</v>
      </c>
      <c r="D244" s="5">
        <f>E244*5000</f>
        <v>0</v>
      </c>
      <c r="E244" s="5">
        <v>0</v>
      </c>
      <c r="F244" s="5">
        <f>G244*100000</f>
        <v>0</v>
      </c>
      <c r="G244" s="5">
        <v>0</v>
      </c>
      <c r="H244" s="5">
        <f>I244*20000</f>
        <v>0</v>
      </c>
      <c r="I244" s="5">
        <v>0</v>
      </c>
      <c r="J244" s="5">
        <f>K244*20000</f>
        <v>0</v>
      </c>
      <c r="K244" s="5">
        <v>0</v>
      </c>
      <c r="L244" s="5">
        <f>M244*30000</f>
        <v>0</v>
      </c>
      <c r="M244" s="5">
        <v>0</v>
      </c>
      <c r="N244" s="6">
        <f>200000-L244-J244-H244-F244-D244</f>
        <v>200000</v>
      </c>
    </row>
    <row r="245" spans="1:14" x14ac:dyDescent="0.45">
      <c r="A245" s="10">
        <f t="shared" ref="A245:A274" si="52">ROW(A245)-1</f>
        <v>244</v>
      </c>
      <c r="B245" s="5" t="s">
        <v>311</v>
      </c>
      <c r="C245" s="5" t="s">
        <v>354</v>
      </c>
      <c r="D245" s="5">
        <f t="shared" ref="D245:D305" si="53">E245*5000</f>
        <v>0</v>
      </c>
      <c r="E245" s="5">
        <v>0</v>
      </c>
      <c r="F245" s="5">
        <f t="shared" ref="F245:F305" si="54">G245*100000</f>
        <v>0</v>
      </c>
      <c r="G245" s="5">
        <v>0</v>
      </c>
      <c r="H245" s="5">
        <f t="shared" ref="H245:H305" si="55">I245*20000</f>
        <v>0</v>
      </c>
      <c r="I245" s="5">
        <v>0</v>
      </c>
      <c r="J245" s="5">
        <f t="shared" ref="J245:J305" si="56">K245*20000</f>
        <v>0</v>
      </c>
      <c r="K245" s="5">
        <v>0</v>
      </c>
      <c r="L245" s="5">
        <f t="shared" ref="L245:L305" si="57">M245*30000</f>
        <v>0</v>
      </c>
      <c r="M245" s="5">
        <v>0</v>
      </c>
      <c r="N245" s="6">
        <f t="shared" ref="N245:N305" si="58">200000-L245-J245-H245-F245-D245</f>
        <v>200000</v>
      </c>
    </row>
    <row r="246" spans="1:14" x14ac:dyDescent="0.45">
      <c r="A246" s="10">
        <f t="shared" si="52"/>
        <v>245</v>
      </c>
      <c r="B246" s="5" t="s">
        <v>312</v>
      </c>
      <c r="C246" s="5" t="s">
        <v>354</v>
      </c>
      <c r="D246" s="5">
        <f t="shared" si="53"/>
        <v>0</v>
      </c>
      <c r="E246" s="5">
        <v>0</v>
      </c>
      <c r="F246" s="5">
        <f t="shared" si="54"/>
        <v>0</v>
      </c>
      <c r="G246" s="5">
        <v>0</v>
      </c>
      <c r="H246" s="5">
        <f t="shared" si="55"/>
        <v>0</v>
      </c>
      <c r="I246" s="5">
        <v>0</v>
      </c>
      <c r="J246" s="5">
        <f t="shared" si="56"/>
        <v>0</v>
      </c>
      <c r="K246" s="5">
        <v>0</v>
      </c>
      <c r="L246" s="5">
        <f t="shared" si="57"/>
        <v>0</v>
      </c>
      <c r="M246" s="5">
        <v>0</v>
      </c>
      <c r="N246" s="6">
        <f t="shared" si="58"/>
        <v>200000</v>
      </c>
    </row>
    <row r="247" spans="1:14" x14ac:dyDescent="0.45">
      <c r="A247" s="10">
        <f t="shared" si="52"/>
        <v>246</v>
      </c>
      <c r="B247" s="5" t="s">
        <v>313</v>
      </c>
      <c r="C247" s="5" t="s">
        <v>354</v>
      </c>
      <c r="D247" s="5">
        <f t="shared" si="53"/>
        <v>15000</v>
      </c>
      <c r="E247" s="5">
        <v>3</v>
      </c>
      <c r="F247" s="5">
        <f t="shared" si="54"/>
        <v>0</v>
      </c>
      <c r="G247" s="5">
        <v>0</v>
      </c>
      <c r="H247" s="5">
        <f t="shared" si="55"/>
        <v>0</v>
      </c>
      <c r="I247" s="5">
        <v>0</v>
      </c>
      <c r="J247" s="5">
        <f t="shared" si="56"/>
        <v>60000</v>
      </c>
      <c r="K247" s="5">
        <v>3</v>
      </c>
      <c r="L247" s="5">
        <f t="shared" si="57"/>
        <v>30000</v>
      </c>
      <c r="M247" s="5">
        <v>1</v>
      </c>
      <c r="N247" s="6">
        <f t="shared" si="58"/>
        <v>95000</v>
      </c>
    </row>
    <row r="248" spans="1:14" x14ac:dyDescent="0.45">
      <c r="A248" s="10">
        <f t="shared" si="52"/>
        <v>247</v>
      </c>
      <c r="B248" s="5" t="s">
        <v>314</v>
      </c>
      <c r="C248" s="5" t="s">
        <v>354</v>
      </c>
      <c r="D248" s="5">
        <f t="shared" si="53"/>
        <v>5000</v>
      </c>
      <c r="E248" s="5">
        <v>1</v>
      </c>
      <c r="F248" s="5">
        <f t="shared" si="54"/>
        <v>0</v>
      </c>
      <c r="G248" s="5">
        <v>0</v>
      </c>
      <c r="H248" s="5">
        <f t="shared" si="55"/>
        <v>0</v>
      </c>
      <c r="I248" s="5">
        <v>0</v>
      </c>
      <c r="J248" s="5">
        <f t="shared" si="56"/>
        <v>100000</v>
      </c>
      <c r="K248" s="5">
        <v>5</v>
      </c>
      <c r="L248" s="5">
        <f t="shared" si="57"/>
        <v>0</v>
      </c>
      <c r="M248" s="5">
        <v>0</v>
      </c>
      <c r="N248" s="6">
        <f t="shared" si="58"/>
        <v>95000</v>
      </c>
    </row>
    <row r="249" spans="1:14" x14ac:dyDescent="0.45">
      <c r="A249" s="10">
        <f t="shared" si="52"/>
        <v>248</v>
      </c>
      <c r="B249" s="5" t="s">
        <v>315</v>
      </c>
      <c r="C249" s="5" t="s">
        <v>354</v>
      </c>
      <c r="D249" s="5">
        <f t="shared" si="53"/>
        <v>0</v>
      </c>
      <c r="E249" s="5">
        <v>0</v>
      </c>
      <c r="F249" s="5">
        <f t="shared" si="54"/>
        <v>0</v>
      </c>
      <c r="G249" s="5">
        <v>0</v>
      </c>
      <c r="H249" s="5">
        <f t="shared" si="55"/>
        <v>0</v>
      </c>
      <c r="I249" s="5">
        <v>0</v>
      </c>
      <c r="J249" s="5">
        <f t="shared" si="56"/>
        <v>0</v>
      </c>
      <c r="K249" s="5">
        <v>0</v>
      </c>
      <c r="L249" s="5">
        <f t="shared" si="57"/>
        <v>0</v>
      </c>
      <c r="M249" s="5">
        <v>0</v>
      </c>
      <c r="N249" s="6">
        <f t="shared" si="58"/>
        <v>200000</v>
      </c>
    </row>
    <row r="250" spans="1:14" x14ac:dyDescent="0.45">
      <c r="A250" s="10">
        <f t="shared" si="52"/>
        <v>249</v>
      </c>
      <c r="B250" s="5" t="s">
        <v>316</v>
      </c>
      <c r="C250" s="5" t="s">
        <v>354</v>
      </c>
      <c r="D250" s="5">
        <f t="shared" si="53"/>
        <v>0</v>
      </c>
      <c r="E250" s="5">
        <v>0</v>
      </c>
      <c r="F250" s="5">
        <f t="shared" si="54"/>
        <v>0</v>
      </c>
      <c r="G250" s="5">
        <v>0</v>
      </c>
      <c r="H250" s="5">
        <f t="shared" si="55"/>
        <v>0</v>
      </c>
      <c r="I250" s="5">
        <v>0</v>
      </c>
      <c r="J250" s="5">
        <f t="shared" si="56"/>
        <v>0</v>
      </c>
      <c r="K250" s="5">
        <v>0</v>
      </c>
      <c r="L250" s="5">
        <f t="shared" si="57"/>
        <v>0</v>
      </c>
      <c r="M250" s="5">
        <v>0</v>
      </c>
      <c r="N250" s="6">
        <f t="shared" si="58"/>
        <v>200000</v>
      </c>
    </row>
    <row r="251" spans="1:14" x14ac:dyDescent="0.45">
      <c r="A251" s="10">
        <f t="shared" si="52"/>
        <v>250</v>
      </c>
      <c r="B251" s="5" t="s">
        <v>317</v>
      </c>
      <c r="C251" s="5" t="s">
        <v>354</v>
      </c>
      <c r="D251" s="5">
        <f t="shared" si="53"/>
        <v>0</v>
      </c>
      <c r="E251" s="5">
        <v>0</v>
      </c>
      <c r="F251" s="5">
        <f t="shared" si="54"/>
        <v>0</v>
      </c>
      <c r="G251" s="5">
        <v>0</v>
      </c>
      <c r="H251" s="5">
        <f t="shared" si="55"/>
        <v>0</v>
      </c>
      <c r="I251" s="5">
        <v>0</v>
      </c>
      <c r="J251" s="5">
        <f t="shared" si="56"/>
        <v>0</v>
      </c>
      <c r="K251" s="5">
        <v>0</v>
      </c>
      <c r="L251" s="5">
        <f t="shared" si="57"/>
        <v>0</v>
      </c>
      <c r="M251" s="5">
        <v>0</v>
      </c>
      <c r="N251" s="6">
        <f t="shared" si="58"/>
        <v>200000</v>
      </c>
    </row>
    <row r="252" spans="1:14" x14ac:dyDescent="0.45">
      <c r="A252" s="10">
        <f t="shared" si="52"/>
        <v>251</v>
      </c>
      <c r="B252" s="5" t="s">
        <v>318</v>
      </c>
      <c r="C252" s="5" t="s">
        <v>354</v>
      </c>
      <c r="D252" s="5">
        <f t="shared" si="53"/>
        <v>0</v>
      </c>
      <c r="E252" s="5">
        <v>0</v>
      </c>
      <c r="F252" s="5">
        <f t="shared" si="54"/>
        <v>0</v>
      </c>
      <c r="G252" s="5">
        <v>0</v>
      </c>
      <c r="H252" s="5">
        <f t="shared" si="55"/>
        <v>0</v>
      </c>
      <c r="I252" s="5">
        <v>0</v>
      </c>
      <c r="J252" s="5">
        <f t="shared" si="56"/>
        <v>20000</v>
      </c>
      <c r="K252" s="5">
        <v>1</v>
      </c>
      <c r="L252" s="5">
        <f t="shared" si="57"/>
        <v>0</v>
      </c>
      <c r="M252" s="5">
        <v>0</v>
      </c>
      <c r="N252" s="6">
        <f t="shared" si="58"/>
        <v>180000</v>
      </c>
    </row>
    <row r="253" spans="1:14" x14ac:dyDescent="0.45">
      <c r="A253" s="10">
        <f t="shared" si="52"/>
        <v>252</v>
      </c>
      <c r="B253" s="5" t="s">
        <v>319</v>
      </c>
      <c r="C253" s="5" t="s">
        <v>354</v>
      </c>
      <c r="D253" s="5">
        <f t="shared" si="53"/>
        <v>0</v>
      </c>
      <c r="E253" s="5">
        <v>0</v>
      </c>
      <c r="F253" s="5">
        <f t="shared" si="54"/>
        <v>0</v>
      </c>
      <c r="G253" s="5">
        <v>0</v>
      </c>
      <c r="H253" s="5">
        <f t="shared" si="55"/>
        <v>20000</v>
      </c>
      <c r="I253" s="5">
        <v>1</v>
      </c>
      <c r="J253" s="5">
        <f t="shared" si="56"/>
        <v>80000</v>
      </c>
      <c r="K253" s="5">
        <v>4</v>
      </c>
      <c r="L253" s="5">
        <f t="shared" si="57"/>
        <v>0</v>
      </c>
      <c r="M253" s="5">
        <v>0</v>
      </c>
      <c r="N253" s="6">
        <f t="shared" si="58"/>
        <v>100000</v>
      </c>
    </row>
    <row r="254" spans="1:14" x14ac:dyDescent="0.45">
      <c r="A254" s="10">
        <f t="shared" si="52"/>
        <v>253</v>
      </c>
      <c r="B254" s="5" t="s">
        <v>320</v>
      </c>
      <c r="C254" s="5" t="s">
        <v>354</v>
      </c>
      <c r="D254" s="5">
        <f t="shared" si="53"/>
        <v>0</v>
      </c>
      <c r="E254" s="5">
        <v>0</v>
      </c>
      <c r="F254" s="5">
        <v>0</v>
      </c>
      <c r="G254" s="5">
        <v>1</v>
      </c>
      <c r="H254" s="5">
        <f t="shared" si="55"/>
        <v>20000</v>
      </c>
      <c r="I254" s="5">
        <v>1</v>
      </c>
      <c r="J254" s="5">
        <f t="shared" si="56"/>
        <v>120000</v>
      </c>
      <c r="K254" s="5">
        <v>6</v>
      </c>
      <c r="L254" s="5">
        <f t="shared" si="57"/>
        <v>0</v>
      </c>
      <c r="M254" s="5">
        <v>0</v>
      </c>
      <c r="N254" s="6">
        <f t="shared" si="58"/>
        <v>60000</v>
      </c>
    </row>
    <row r="255" spans="1:14" x14ac:dyDescent="0.45">
      <c r="A255" s="10">
        <f t="shared" si="52"/>
        <v>254</v>
      </c>
      <c r="B255" s="5" t="s">
        <v>321</v>
      </c>
      <c r="C255" s="5" t="s">
        <v>354</v>
      </c>
      <c r="D255" s="5">
        <f t="shared" si="53"/>
        <v>0</v>
      </c>
      <c r="E255" s="5">
        <v>0</v>
      </c>
      <c r="F255" s="5">
        <f t="shared" si="54"/>
        <v>0</v>
      </c>
      <c r="G255" s="5">
        <v>0</v>
      </c>
      <c r="H255" s="5">
        <f t="shared" si="55"/>
        <v>40000</v>
      </c>
      <c r="I255" s="5">
        <v>2</v>
      </c>
      <c r="J255" s="5">
        <f t="shared" si="56"/>
        <v>40000</v>
      </c>
      <c r="K255" s="5">
        <v>2</v>
      </c>
      <c r="L255" s="5">
        <f t="shared" si="57"/>
        <v>30000</v>
      </c>
      <c r="M255" s="5">
        <v>1</v>
      </c>
      <c r="N255" s="6">
        <f t="shared" si="58"/>
        <v>90000</v>
      </c>
    </row>
    <row r="256" spans="1:14" x14ac:dyDescent="0.45">
      <c r="A256" s="10">
        <f t="shared" si="52"/>
        <v>255</v>
      </c>
      <c r="B256" s="5" t="s">
        <v>322</v>
      </c>
      <c r="C256" s="5" t="s">
        <v>354</v>
      </c>
      <c r="D256" s="5">
        <f t="shared" si="53"/>
        <v>0</v>
      </c>
      <c r="E256" s="5">
        <v>0</v>
      </c>
      <c r="F256" s="5">
        <f t="shared" si="54"/>
        <v>0</v>
      </c>
      <c r="G256" s="5">
        <v>0</v>
      </c>
      <c r="H256" s="5">
        <f t="shared" si="55"/>
        <v>0</v>
      </c>
      <c r="I256" s="5">
        <v>0</v>
      </c>
      <c r="J256" s="5">
        <f t="shared" si="56"/>
        <v>60000</v>
      </c>
      <c r="K256" s="5">
        <v>3</v>
      </c>
      <c r="L256" s="5">
        <f t="shared" si="57"/>
        <v>0</v>
      </c>
      <c r="M256" s="5">
        <v>0</v>
      </c>
      <c r="N256" s="6">
        <f t="shared" si="58"/>
        <v>140000</v>
      </c>
    </row>
    <row r="257" spans="1:14" x14ac:dyDescent="0.45">
      <c r="A257" s="10">
        <f t="shared" si="52"/>
        <v>256</v>
      </c>
      <c r="B257" s="5" t="s">
        <v>323</v>
      </c>
      <c r="C257" s="5" t="s">
        <v>354</v>
      </c>
      <c r="D257" s="5">
        <f t="shared" si="53"/>
        <v>0</v>
      </c>
      <c r="E257" s="5">
        <v>0</v>
      </c>
      <c r="F257" s="5">
        <f t="shared" si="54"/>
        <v>0</v>
      </c>
      <c r="G257" s="5">
        <v>0</v>
      </c>
      <c r="H257" s="5">
        <f t="shared" si="55"/>
        <v>0</v>
      </c>
      <c r="I257" s="5">
        <v>0</v>
      </c>
      <c r="J257" s="5">
        <f t="shared" si="56"/>
        <v>0</v>
      </c>
      <c r="K257" s="5">
        <v>0</v>
      </c>
      <c r="L257" s="5">
        <f t="shared" si="57"/>
        <v>0</v>
      </c>
      <c r="M257" s="5">
        <v>0</v>
      </c>
      <c r="N257" s="6">
        <f t="shared" si="58"/>
        <v>200000</v>
      </c>
    </row>
    <row r="258" spans="1:14" x14ac:dyDescent="0.45">
      <c r="A258" s="10">
        <f t="shared" si="52"/>
        <v>257</v>
      </c>
      <c r="B258" s="5" t="s">
        <v>324</v>
      </c>
      <c r="C258" s="5" t="s">
        <v>354</v>
      </c>
      <c r="D258" s="5">
        <f t="shared" si="53"/>
        <v>0</v>
      </c>
      <c r="E258" s="5">
        <v>0</v>
      </c>
      <c r="F258" s="5">
        <f t="shared" si="54"/>
        <v>0</v>
      </c>
      <c r="G258" s="5">
        <v>0</v>
      </c>
      <c r="H258" s="5">
        <f t="shared" si="55"/>
        <v>20000</v>
      </c>
      <c r="I258" s="5">
        <v>1</v>
      </c>
      <c r="J258" s="5">
        <f t="shared" si="56"/>
        <v>0</v>
      </c>
      <c r="K258" s="5">
        <v>0</v>
      </c>
      <c r="L258" s="5">
        <f t="shared" si="57"/>
        <v>0</v>
      </c>
      <c r="M258" s="5">
        <v>0</v>
      </c>
      <c r="N258" s="6">
        <f t="shared" si="58"/>
        <v>180000</v>
      </c>
    </row>
    <row r="259" spans="1:14" x14ac:dyDescent="0.45">
      <c r="A259" s="10">
        <f t="shared" si="52"/>
        <v>258</v>
      </c>
      <c r="B259" s="5" t="s">
        <v>325</v>
      </c>
      <c r="C259" s="5" t="s">
        <v>354</v>
      </c>
      <c r="D259" s="5">
        <f t="shared" si="53"/>
        <v>10000</v>
      </c>
      <c r="E259" s="5">
        <v>2</v>
      </c>
      <c r="F259" s="5">
        <f t="shared" si="54"/>
        <v>0</v>
      </c>
      <c r="G259" s="5">
        <v>0</v>
      </c>
      <c r="H259" s="5">
        <f t="shared" si="55"/>
        <v>0</v>
      </c>
      <c r="I259" s="5">
        <v>0</v>
      </c>
      <c r="J259" s="5">
        <f t="shared" si="56"/>
        <v>0</v>
      </c>
      <c r="K259" s="5">
        <v>0</v>
      </c>
      <c r="L259" s="5">
        <f t="shared" si="57"/>
        <v>0</v>
      </c>
      <c r="M259" s="5">
        <v>0</v>
      </c>
      <c r="N259" s="6">
        <f t="shared" si="58"/>
        <v>190000</v>
      </c>
    </row>
    <row r="260" spans="1:14" x14ac:dyDescent="0.45">
      <c r="A260" s="10">
        <f t="shared" si="52"/>
        <v>259</v>
      </c>
      <c r="B260" s="5" t="s">
        <v>326</v>
      </c>
      <c r="C260" s="5" t="s">
        <v>354</v>
      </c>
      <c r="D260" s="5">
        <f t="shared" si="53"/>
        <v>0</v>
      </c>
      <c r="E260" s="5">
        <v>0</v>
      </c>
      <c r="F260" s="5">
        <f t="shared" si="54"/>
        <v>0</v>
      </c>
      <c r="G260" s="5">
        <v>0</v>
      </c>
      <c r="H260" s="5">
        <f t="shared" si="55"/>
        <v>0</v>
      </c>
      <c r="I260" s="5">
        <v>0</v>
      </c>
      <c r="J260" s="5">
        <f t="shared" si="56"/>
        <v>0</v>
      </c>
      <c r="K260" s="5">
        <v>0</v>
      </c>
      <c r="L260" s="5">
        <f t="shared" si="57"/>
        <v>0</v>
      </c>
      <c r="M260" s="5">
        <v>0</v>
      </c>
      <c r="N260" s="6">
        <f t="shared" si="58"/>
        <v>200000</v>
      </c>
    </row>
    <row r="261" spans="1:14" x14ac:dyDescent="0.45">
      <c r="A261" s="10">
        <f t="shared" si="52"/>
        <v>260</v>
      </c>
      <c r="B261" s="5" t="s">
        <v>327</v>
      </c>
      <c r="C261" s="5" t="s">
        <v>354</v>
      </c>
      <c r="D261" s="5">
        <f t="shared" si="53"/>
        <v>0</v>
      </c>
      <c r="E261" s="5">
        <v>0</v>
      </c>
      <c r="F261" s="5">
        <f t="shared" si="54"/>
        <v>0</v>
      </c>
      <c r="G261" s="5">
        <v>0</v>
      </c>
      <c r="H261" s="5">
        <f t="shared" si="55"/>
        <v>20000</v>
      </c>
      <c r="I261" s="5">
        <v>1</v>
      </c>
      <c r="J261" s="5">
        <f t="shared" si="56"/>
        <v>0</v>
      </c>
      <c r="K261" s="5">
        <v>0</v>
      </c>
      <c r="L261" s="5">
        <f t="shared" si="57"/>
        <v>0</v>
      </c>
      <c r="M261" s="5">
        <v>0</v>
      </c>
      <c r="N261" s="6">
        <f t="shared" si="58"/>
        <v>180000</v>
      </c>
    </row>
    <row r="262" spans="1:14" x14ac:dyDescent="0.45">
      <c r="A262" s="10">
        <f t="shared" si="52"/>
        <v>261</v>
      </c>
      <c r="B262" s="5" t="s">
        <v>328</v>
      </c>
      <c r="C262" s="5" t="s">
        <v>354</v>
      </c>
      <c r="D262" s="5">
        <f t="shared" si="53"/>
        <v>0</v>
      </c>
      <c r="E262" s="5">
        <v>0</v>
      </c>
      <c r="F262" s="5">
        <f t="shared" si="54"/>
        <v>0</v>
      </c>
      <c r="G262" s="5">
        <v>0</v>
      </c>
      <c r="H262" s="5">
        <f t="shared" si="55"/>
        <v>20000</v>
      </c>
      <c r="I262" s="5">
        <v>1</v>
      </c>
      <c r="J262" s="5">
        <f t="shared" si="56"/>
        <v>0</v>
      </c>
      <c r="K262" s="5">
        <v>0</v>
      </c>
      <c r="L262" s="5">
        <f t="shared" si="57"/>
        <v>0</v>
      </c>
      <c r="M262" s="5">
        <v>0</v>
      </c>
      <c r="N262" s="6">
        <f t="shared" si="58"/>
        <v>180000</v>
      </c>
    </row>
    <row r="263" spans="1:14" x14ac:dyDescent="0.45">
      <c r="A263" s="10">
        <f t="shared" si="52"/>
        <v>262</v>
      </c>
      <c r="B263" s="5" t="s">
        <v>329</v>
      </c>
      <c r="C263" s="5" t="s">
        <v>354</v>
      </c>
      <c r="D263" s="5">
        <f t="shared" si="53"/>
        <v>0</v>
      </c>
      <c r="E263" s="5">
        <v>0</v>
      </c>
      <c r="F263" s="5">
        <f t="shared" si="54"/>
        <v>0</v>
      </c>
      <c r="G263" s="5">
        <v>0</v>
      </c>
      <c r="H263" s="5">
        <f t="shared" si="55"/>
        <v>0</v>
      </c>
      <c r="I263" s="5">
        <v>0</v>
      </c>
      <c r="J263" s="5">
        <f t="shared" si="56"/>
        <v>20000</v>
      </c>
      <c r="K263" s="5">
        <v>1</v>
      </c>
      <c r="L263" s="5">
        <f t="shared" si="57"/>
        <v>0</v>
      </c>
      <c r="M263" s="5">
        <v>0</v>
      </c>
      <c r="N263" s="6">
        <f t="shared" si="58"/>
        <v>180000</v>
      </c>
    </row>
    <row r="264" spans="1:14" x14ac:dyDescent="0.45">
      <c r="A264" s="10">
        <f t="shared" si="52"/>
        <v>263</v>
      </c>
      <c r="B264" s="5" t="s">
        <v>330</v>
      </c>
      <c r="C264" s="5" t="s">
        <v>354</v>
      </c>
      <c r="D264" s="5">
        <f t="shared" si="53"/>
        <v>0</v>
      </c>
      <c r="E264" s="5">
        <v>0</v>
      </c>
      <c r="F264" s="5">
        <f t="shared" si="54"/>
        <v>0</v>
      </c>
      <c r="G264" s="5">
        <v>0</v>
      </c>
      <c r="H264" s="5">
        <f t="shared" si="55"/>
        <v>40000</v>
      </c>
      <c r="I264" s="5">
        <v>2</v>
      </c>
      <c r="J264" s="5">
        <f t="shared" si="56"/>
        <v>40000</v>
      </c>
      <c r="K264" s="5">
        <v>2</v>
      </c>
      <c r="L264" s="5">
        <f t="shared" si="57"/>
        <v>0</v>
      </c>
      <c r="M264" s="5">
        <v>0</v>
      </c>
      <c r="N264" s="6">
        <f t="shared" si="58"/>
        <v>120000</v>
      </c>
    </row>
    <row r="265" spans="1:14" x14ac:dyDescent="0.45">
      <c r="A265" s="10">
        <f t="shared" si="52"/>
        <v>264</v>
      </c>
      <c r="B265" s="5" t="s">
        <v>331</v>
      </c>
      <c r="C265" s="5" t="s">
        <v>354</v>
      </c>
      <c r="D265" s="5">
        <f t="shared" si="53"/>
        <v>0</v>
      </c>
      <c r="E265" s="5">
        <v>0</v>
      </c>
      <c r="F265" s="5">
        <f t="shared" si="54"/>
        <v>0</v>
      </c>
      <c r="G265" s="5">
        <v>0</v>
      </c>
      <c r="H265" s="5">
        <f t="shared" si="55"/>
        <v>20000</v>
      </c>
      <c r="I265" s="5">
        <v>1</v>
      </c>
      <c r="J265" s="5">
        <f t="shared" si="56"/>
        <v>0</v>
      </c>
      <c r="K265" s="5">
        <v>0</v>
      </c>
      <c r="L265" s="5">
        <f t="shared" si="57"/>
        <v>0</v>
      </c>
      <c r="M265" s="5">
        <v>0</v>
      </c>
      <c r="N265" s="6">
        <f t="shared" si="58"/>
        <v>180000</v>
      </c>
    </row>
    <row r="266" spans="1:14" x14ac:dyDescent="0.45">
      <c r="A266" s="10">
        <f t="shared" si="52"/>
        <v>265</v>
      </c>
      <c r="B266" s="5" t="s">
        <v>332</v>
      </c>
      <c r="C266" s="5" t="s">
        <v>354</v>
      </c>
      <c r="D266" s="5">
        <f t="shared" si="53"/>
        <v>0</v>
      </c>
      <c r="E266" s="5">
        <v>0</v>
      </c>
      <c r="F266" s="5">
        <f t="shared" si="54"/>
        <v>0</v>
      </c>
      <c r="G266" s="5">
        <v>0</v>
      </c>
      <c r="H266" s="5">
        <f t="shared" si="55"/>
        <v>0</v>
      </c>
      <c r="I266" s="5">
        <v>0</v>
      </c>
      <c r="J266" s="5">
        <f t="shared" si="56"/>
        <v>60000</v>
      </c>
      <c r="K266" s="5">
        <v>3</v>
      </c>
      <c r="L266" s="5">
        <f t="shared" si="57"/>
        <v>0</v>
      </c>
      <c r="M266" s="5">
        <v>0</v>
      </c>
      <c r="N266" s="6">
        <f t="shared" si="58"/>
        <v>140000</v>
      </c>
    </row>
    <row r="267" spans="1:14" x14ac:dyDescent="0.45">
      <c r="A267" s="10">
        <f t="shared" si="52"/>
        <v>266</v>
      </c>
      <c r="B267" s="5" t="s">
        <v>333</v>
      </c>
      <c r="C267" s="5" t="s">
        <v>354</v>
      </c>
      <c r="D267" s="5">
        <f t="shared" si="53"/>
        <v>0</v>
      </c>
      <c r="E267" s="5">
        <v>0</v>
      </c>
      <c r="F267" s="5">
        <f t="shared" si="54"/>
        <v>0</v>
      </c>
      <c r="G267" s="5">
        <v>0</v>
      </c>
      <c r="H267" s="5">
        <f t="shared" si="55"/>
        <v>0</v>
      </c>
      <c r="I267" s="5">
        <v>0</v>
      </c>
      <c r="J267" s="5">
        <f t="shared" si="56"/>
        <v>60000</v>
      </c>
      <c r="K267" s="5">
        <v>3</v>
      </c>
      <c r="L267" s="5">
        <f t="shared" si="57"/>
        <v>0</v>
      </c>
      <c r="M267" s="5">
        <v>0</v>
      </c>
      <c r="N267" s="6">
        <f t="shared" si="58"/>
        <v>140000</v>
      </c>
    </row>
    <row r="268" spans="1:14" x14ac:dyDescent="0.45">
      <c r="A268" s="10">
        <f t="shared" si="52"/>
        <v>267</v>
      </c>
      <c r="B268" s="5" t="s">
        <v>334</v>
      </c>
      <c r="C268" s="5" t="s">
        <v>354</v>
      </c>
      <c r="D268" s="5">
        <f t="shared" si="53"/>
        <v>0</v>
      </c>
      <c r="E268" s="5">
        <v>0</v>
      </c>
      <c r="F268" s="5">
        <f t="shared" si="54"/>
        <v>0</v>
      </c>
      <c r="G268" s="5">
        <v>0</v>
      </c>
      <c r="H268" s="5">
        <f t="shared" si="55"/>
        <v>0</v>
      </c>
      <c r="I268" s="5">
        <v>0</v>
      </c>
      <c r="J268" s="5">
        <f t="shared" si="56"/>
        <v>60000</v>
      </c>
      <c r="K268" s="5">
        <v>3</v>
      </c>
      <c r="L268" s="5">
        <f t="shared" si="57"/>
        <v>0</v>
      </c>
      <c r="M268" s="5">
        <v>0</v>
      </c>
      <c r="N268" s="6">
        <f t="shared" si="58"/>
        <v>140000</v>
      </c>
    </row>
    <row r="269" spans="1:14" x14ac:dyDescent="0.45">
      <c r="A269" s="10">
        <f t="shared" si="52"/>
        <v>268</v>
      </c>
      <c r="B269" s="5" t="s">
        <v>335</v>
      </c>
      <c r="C269" s="5" t="s">
        <v>354</v>
      </c>
      <c r="D269" s="5">
        <f t="shared" si="53"/>
        <v>0</v>
      </c>
      <c r="E269" s="5">
        <v>0</v>
      </c>
      <c r="F269" s="5">
        <f t="shared" si="54"/>
        <v>0</v>
      </c>
      <c r="G269" s="5">
        <v>0</v>
      </c>
      <c r="H269" s="5">
        <f t="shared" si="55"/>
        <v>20000</v>
      </c>
      <c r="I269" s="5">
        <v>1</v>
      </c>
      <c r="J269" s="5">
        <f t="shared" si="56"/>
        <v>40000</v>
      </c>
      <c r="K269" s="5">
        <v>2</v>
      </c>
      <c r="L269" s="5">
        <f t="shared" si="57"/>
        <v>0</v>
      </c>
      <c r="M269" s="5">
        <v>0</v>
      </c>
      <c r="N269" s="6">
        <f t="shared" si="58"/>
        <v>140000</v>
      </c>
    </row>
    <row r="270" spans="1:14" x14ac:dyDescent="0.45">
      <c r="A270" s="10">
        <f t="shared" si="52"/>
        <v>269</v>
      </c>
      <c r="B270" s="5" t="s">
        <v>336</v>
      </c>
      <c r="C270" s="5" t="s">
        <v>354</v>
      </c>
      <c r="D270" s="5">
        <f t="shared" si="53"/>
        <v>0</v>
      </c>
      <c r="E270" s="5">
        <v>0</v>
      </c>
      <c r="F270" s="5">
        <f t="shared" si="54"/>
        <v>0</v>
      </c>
      <c r="G270" s="5">
        <v>0</v>
      </c>
      <c r="H270" s="5">
        <f t="shared" si="55"/>
        <v>20000</v>
      </c>
      <c r="I270" s="5">
        <v>1</v>
      </c>
      <c r="J270" s="5">
        <f t="shared" si="56"/>
        <v>0</v>
      </c>
      <c r="K270" s="5">
        <v>0</v>
      </c>
      <c r="L270" s="5">
        <f t="shared" si="57"/>
        <v>0</v>
      </c>
      <c r="M270" s="5">
        <v>0</v>
      </c>
      <c r="N270" s="6">
        <f t="shared" si="58"/>
        <v>180000</v>
      </c>
    </row>
    <row r="271" spans="1:14" x14ac:dyDescent="0.45">
      <c r="A271" s="10">
        <f t="shared" si="52"/>
        <v>270</v>
      </c>
      <c r="B271" s="5" t="s">
        <v>337</v>
      </c>
      <c r="C271" s="5" t="s">
        <v>354</v>
      </c>
      <c r="D271" s="5">
        <f t="shared" si="53"/>
        <v>0</v>
      </c>
      <c r="E271" s="5">
        <v>0</v>
      </c>
      <c r="F271" s="5">
        <f t="shared" si="54"/>
        <v>0</v>
      </c>
      <c r="G271" s="5">
        <v>0</v>
      </c>
      <c r="H271" s="5">
        <f t="shared" si="55"/>
        <v>0</v>
      </c>
      <c r="I271" s="5">
        <v>0</v>
      </c>
      <c r="J271" s="5">
        <f t="shared" si="56"/>
        <v>80000</v>
      </c>
      <c r="K271" s="5">
        <v>4</v>
      </c>
      <c r="L271" s="5">
        <f t="shared" si="57"/>
        <v>0</v>
      </c>
      <c r="M271" s="5">
        <v>0</v>
      </c>
      <c r="N271" s="6">
        <f>200000-L271-J271-H271-F271-D271</f>
        <v>120000</v>
      </c>
    </row>
    <row r="272" spans="1:14" x14ac:dyDescent="0.45">
      <c r="A272" s="10">
        <f t="shared" si="52"/>
        <v>271</v>
      </c>
      <c r="B272" s="5" t="s">
        <v>338</v>
      </c>
      <c r="C272" s="5" t="s">
        <v>354</v>
      </c>
      <c r="D272" s="5">
        <f t="shared" si="53"/>
        <v>0</v>
      </c>
      <c r="E272" s="5">
        <v>0</v>
      </c>
      <c r="F272" s="5">
        <f t="shared" si="54"/>
        <v>0</v>
      </c>
      <c r="G272" s="5">
        <v>0</v>
      </c>
      <c r="H272" s="5">
        <f t="shared" si="55"/>
        <v>20000</v>
      </c>
      <c r="I272" s="5">
        <v>1</v>
      </c>
      <c r="J272" s="5">
        <f t="shared" si="56"/>
        <v>20000</v>
      </c>
      <c r="K272" s="5">
        <v>1</v>
      </c>
      <c r="L272" s="5">
        <f t="shared" si="57"/>
        <v>0</v>
      </c>
      <c r="M272" s="5">
        <v>0</v>
      </c>
      <c r="N272" s="6">
        <f t="shared" si="58"/>
        <v>160000</v>
      </c>
    </row>
    <row r="273" spans="1:14" x14ac:dyDescent="0.45">
      <c r="A273" s="10">
        <f t="shared" si="52"/>
        <v>272</v>
      </c>
      <c r="B273" s="5" t="s">
        <v>339</v>
      </c>
      <c r="C273" s="5" t="s">
        <v>354</v>
      </c>
      <c r="D273" s="5">
        <f t="shared" si="53"/>
        <v>0</v>
      </c>
      <c r="E273" s="5">
        <v>0</v>
      </c>
      <c r="F273" s="5">
        <f t="shared" si="54"/>
        <v>0</v>
      </c>
      <c r="G273" s="5">
        <v>0</v>
      </c>
      <c r="H273" s="5">
        <f t="shared" si="55"/>
        <v>0</v>
      </c>
      <c r="I273" s="5">
        <v>0</v>
      </c>
      <c r="J273" s="5">
        <f t="shared" si="56"/>
        <v>20000</v>
      </c>
      <c r="K273" s="5">
        <v>1</v>
      </c>
      <c r="L273" s="5">
        <f t="shared" si="57"/>
        <v>0</v>
      </c>
      <c r="M273" s="5">
        <v>0</v>
      </c>
      <c r="N273" s="6">
        <f t="shared" si="58"/>
        <v>180000</v>
      </c>
    </row>
    <row r="274" spans="1:14" x14ac:dyDescent="0.45">
      <c r="A274" s="10">
        <f t="shared" si="52"/>
        <v>273</v>
      </c>
      <c r="B274" s="5" t="s">
        <v>340</v>
      </c>
      <c r="C274" s="5" t="s">
        <v>354</v>
      </c>
      <c r="D274" s="5">
        <f t="shared" si="53"/>
        <v>0</v>
      </c>
      <c r="E274" s="5">
        <v>0</v>
      </c>
      <c r="F274" s="5">
        <f t="shared" si="54"/>
        <v>0</v>
      </c>
      <c r="G274" s="5">
        <v>0</v>
      </c>
      <c r="H274" s="5">
        <f t="shared" si="55"/>
        <v>0</v>
      </c>
      <c r="I274" s="5">
        <v>0</v>
      </c>
      <c r="J274" s="5">
        <f t="shared" si="56"/>
        <v>0</v>
      </c>
      <c r="K274" s="5">
        <v>0</v>
      </c>
      <c r="L274" s="5">
        <f t="shared" si="57"/>
        <v>0</v>
      </c>
      <c r="M274" s="5">
        <v>0</v>
      </c>
      <c r="N274" s="6">
        <f t="shared" si="58"/>
        <v>200000</v>
      </c>
    </row>
    <row r="275" spans="1:14" x14ac:dyDescent="0.45">
      <c r="A275" s="14">
        <f>ROW(A275)-1</f>
        <v>274</v>
      </c>
      <c r="B275" s="15" t="s">
        <v>371</v>
      </c>
      <c r="C275" s="5" t="s">
        <v>354</v>
      </c>
      <c r="D275" s="5">
        <f t="shared" si="53"/>
        <v>0</v>
      </c>
      <c r="E275" s="5">
        <v>0</v>
      </c>
      <c r="F275" s="5">
        <f t="shared" si="54"/>
        <v>0</v>
      </c>
      <c r="G275" s="5">
        <v>0</v>
      </c>
      <c r="H275" s="5">
        <f t="shared" si="55"/>
        <v>20000</v>
      </c>
      <c r="I275" s="5">
        <v>1</v>
      </c>
      <c r="J275" s="5">
        <f t="shared" si="56"/>
        <v>20000</v>
      </c>
      <c r="K275" s="5">
        <v>1</v>
      </c>
      <c r="L275" s="5">
        <f t="shared" si="57"/>
        <v>0</v>
      </c>
      <c r="M275" s="5">
        <v>0</v>
      </c>
      <c r="N275" s="6">
        <f t="shared" si="58"/>
        <v>160000</v>
      </c>
    </row>
    <row r="276" spans="1:14" x14ac:dyDescent="0.45">
      <c r="A276" s="10">
        <f t="shared" ref="A276:A305" si="59">ROW(A276)-1</f>
        <v>275</v>
      </c>
      <c r="B276" s="15" t="s">
        <v>372</v>
      </c>
      <c r="C276" s="5" t="s">
        <v>354</v>
      </c>
      <c r="D276" s="5">
        <f t="shared" si="53"/>
        <v>0</v>
      </c>
      <c r="E276" s="5">
        <v>0</v>
      </c>
      <c r="F276" s="5">
        <f t="shared" si="54"/>
        <v>100000</v>
      </c>
      <c r="G276" s="5">
        <v>1</v>
      </c>
      <c r="H276" s="5">
        <f t="shared" si="55"/>
        <v>0</v>
      </c>
      <c r="I276" s="5">
        <v>0</v>
      </c>
      <c r="J276" s="5">
        <f t="shared" si="56"/>
        <v>20000</v>
      </c>
      <c r="K276" s="5">
        <v>1</v>
      </c>
      <c r="L276" s="5">
        <f t="shared" si="57"/>
        <v>0</v>
      </c>
      <c r="M276" s="5">
        <v>0</v>
      </c>
      <c r="N276" s="6">
        <f t="shared" si="58"/>
        <v>80000</v>
      </c>
    </row>
    <row r="277" spans="1:14" x14ac:dyDescent="0.45">
      <c r="A277" s="10">
        <f t="shared" si="59"/>
        <v>276</v>
      </c>
      <c r="B277" s="15" t="s">
        <v>373</v>
      </c>
      <c r="C277" s="5" t="s">
        <v>354</v>
      </c>
      <c r="D277" s="5">
        <f t="shared" si="53"/>
        <v>0</v>
      </c>
      <c r="E277" s="5">
        <v>0</v>
      </c>
      <c r="F277" s="5">
        <f t="shared" si="54"/>
        <v>0</v>
      </c>
      <c r="G277" s="5">
        <v>0</v>
      </c>
      <c r="H277" s="5">
        <f t="shared" si="55"/>
        <v>0</v>
      </c>
      <c r="I277" s="5">
        <v>0</v>
      </c>
      <c r="J277" s="5">
        <f t="shared" si="56"/>
        <v>20000</v>
      </c>
      <c r="K277" s="5">
        <v>1</v>
      </c>
      <c r="L277" s="5">
        <f t="shared" si="57"/>
        <v>0</v>
      </c>
      <c r="M277" s="5">
        <v>0</v>
      </c>
      <c r="N277" s="6">
        <f t="shared" si="58"/>
        <v>180000</v>
      </c>
    </row>
    <row r="278" spans="1:14" x14ac:dyDescent="0.45">
      <c r="A278" s="10">
        <f t="shared" si="59"/>
        <v>277</v>
      </c>
      <c r="B278" s="15" t="s">
        <v>374</v>
      </c>
      <c r="C278" s="5" t="s">
        <v>354</v>
      </c>
      <c r="D278" s="5">
        <f t="shared" si="53"/>
        <v>0</v>
      </c>
      <c r="E278" s="5">
        <v>0</v>
      </c>
      <c r="F278" s="5">
        <f t="shared" si="54"/>
        <v>0</v>
      </c>
      <c r="G278" s="5">
        <v>0</v>
      </c>
      <c r="H278" s="5">
        <f t="shared" si="55"/>
        <v>0</v>
      </c>
      <c r="I278" s="5">
        <v>0</v>
      </c>
      <c r="J278" s="5">
        <f t="shared" si="56"/>
        <v>60000</v>
      </c>
      <c r="K278" s="5">
        <v>3</v>
      </c>
      <c r="L278" s="5">
        <f t="shared" si="57"/>
        <v>30000</v>
      </c>
      <c r="M278" s="5">
        <v>1</v>
      </c>
      <c r="N278" s="6">
        <f t="shared" si="58"/>
        <v>110000</v>
      </c>
    </row>
    <row r="279" spans="1:14" x14ac:dyDescent="0.45">
      <c r="A279" s="10">
        <f t="shared" si="59"/>
        <v>278</v>
      </c>
      <c r="B279" s="15" t="s">
        <v>375</v>
      </c>
      <c r="C279" s="5" t="s">
        <v>354</v>
      </c>
      <c r="D279" s="5">
        <f t="shared" si="53"/>
        <v>0</v>
      </c>
      <c r="E279" s="5">
        <v>0</v>
      </c>
      <c r="F279" s="5">
        <f t="shared" si="54"/>
        <v>100000</v>
      </c>
      <c r="G279" s="5">
        <v>1</v>
      </c>
      <c r="H279" s="5">
        <f t="shared" si="55"/>
        <v>0</v>
      </c>
      <c r="I279" s="5">
        <v>0</v>
      </c>
      <c r="J279" s="5">
        <f t="shared" si="56"/>
        <v>20000</v>
      </c>
      <c r="K279" s="5">
        <v>1</v>
      </c>
      <c r="L279" s="5">
        <f t="shared" si="57"/>
        <v>30000</v>
      </c>
      <c r="M279" s="5">
        <v>1</v>
      </c>
      <c r="N279" s="6">
        <f t="shared" si="58"/>
        <v>50000</v>
      </c>
    </row>
    <row r="280" spans="1:14" x14ac:dyDescent="0.45">
      <c r="A280" s="10">
        <f t="shared" si="59"/>
        <v>279</v>
      </c>
      <c r="B280" s="15" t="s">
        <v>376</v>
      </c>
      <c r="C280" s="5" t="s">
        <v>354</v>
      </c>
      <c r="D280" s="5">
        <f t="shared" si="53"/>
        <v>0</v>
      </c>
      <c r="E280" s="5">
        <v>0</v>
      </c>
      <c r="F280" s="5">
        <f t="shared" si="54"/>
        <v>0</v>
      </c>
      <c r="G280" s="5">
        <v>0</v>
      </c>
      <c r="H280" s="5">
        <f t="shared" si="55"/>
        <v>0</v>
      </c>
      <c r="I280" s="5">
        <v>0</v>
      </c>
      <c r="J280" s="5">
        <f t="shared" si="56"/>
        <v>0</v>
      </c>
      <c r="K280" s="5">
        <v>0</v>
      </c>
      <c r="L280" s="5">
        <f t="shared" si="57"/>
        <v>30000</v>
      </c>
      <c r="M280" s="5">
        <v>1</v>
      </c>
      <c r="N280" s="6">
        <f t="shared" si="58"/>
        <v>170000</v>
      </c>
    </row>
    <row r="281" spans="1:14" x14ac:dyDescent="0.45">
      <c r="A281" s="10">
        <f t="shared" si="59"/>
        <v>280</v>
      </c>
      <c r="B281" s="15" t="s">
        <v>377</v>
      </c>
      <c r="C281" s="5" t="s">
        <v>354</v>
      </c>
      <c r="D281" s="5">
        <f t="shared" si="53"/>
        <v>0</v>
      </c>
      <c r="E281" s="5">
        <v>0</v>
      </c>
      <c r="F281" s="5">
        <f t="shared" si="54"/>
        <v>100000</v>
      </c>
      <c r="G281" s="5">
        <v>1</v>
      </c>
      <c r="H281" s="5">
        <f t="shared" si="55"/>
        <v>20000</v>
      </c>
      <c r="I281" s="5">
        <v>1</v>
      </c>
      <c r="J281" s="5">
        <f t="shared" si="56"/>
        <v>20000</v>
      </c>
      <c r="K281" s="5">
        <v>1</v>
      </c>
      <c r="L281" s="5">
        <f t="shared" si="57"/>
        <v>30000</v>
      </c>
      <c r="M281" s="5">
        <v>1</v>
      </c>
      <c r="N281" s="6">
        <f t="shared" si="58"/>
        <v>30000</v>
      </c>
    </row>
    <row r="282" spans="1:14" x14ac:dyDescent="0.45">
      <c r="A282" s="10">
        <f t="shared" si="59"/>
        <v>281</v>
      </c>
      <c r="B282" s="15" t="s">
        <v>378</v>
      </c>
      <c r="C282" s="5" t="s">
        <v>354</v>
      </c>
      <c r="D282" s="5">
        <f t="shared" si="53"/>
        <v>0</v>
      </c>
      <c r="E282" s="5">
        <v>0</v>
      </c>
      <c r="F282" s="5">
        <f t="shared" si="54"/>
        <v>100000</v>
      </c>
      <c r="G282" s="5">
        <v>1</v>
      </c>
      <c r="H282" s="5">
        <f t="shared" si="55"/>
        <v>20000</v>
      </c>
      <c r="I282" s="5">
        <v>1</v>
      </c>
      <c r="J282" s="5">
        <f t="shared" si="56"/>
        <v>40000</v>
      </c>
      <c r="K282" s="5">
        <v>2</v>
      </c>
      <c r="L282" s="5">
        <f t="shared" si="57"/>
        <v>30000</v>
      </c>
      <c r="M282" s="5">
        <v>1</v>
      </c>
      <c r="N282" s="6">
        <f t="shared" si="58"/>
        <v>10000</v>
      </c>
    </row>
    <row r="283" spans="1:14" x14ac:dyDescent="0.45">
      <c r="A283" s="10">
        <f t="shared" si="59"/>
        <v>282</v>
      </c>
      <c r="B283" s="15" t="s">
        <v>379</v>
      </c>
      <c r="C283" s="5" t="s">
        <v>354</v>
      </c>
      <c r="D283" s="5">
        <f t="shared" si="53"/>
        <v>0</v>
      </c>
      <c r="E283" s="5">
        <v>0</v>
      </c>
      <c r="F283" s="5">
        <f t="shared" si="54"/>
        <v>0</v>
      </c>
      <c r="G283" s="5">
        <v>0</v>
      </c>
      <c r="H283" s="5">
        <f t="shared" si="55"/>
        <v>0</v>
      </c>
      <c r="I283" s="5">
        <v>0</v>
      </c>
      <c r="J283" s="5">
        <f t="shared" si="56"/>
        <v>100000</v>
      </c>
      <c r="K283" s="5">
        <v>5</v>
      </c>
      <c r="L283" s="5">
        <f t="shared" si="57"/>
        <v>30000</v>
      </c>
      <c r="M283" s="5">
        <v>1</v>
      </c>
      <c r="N283" s="6">
        <f t="shared" si="58"/>
        <v>70000</v>
      </c>
    </row>
    <row r="284" spans="1:14" x14ac:dyDescent="0.45">
      <c r="A284" s="10">
        <f t="shared" si="59"/>
        <v>283</v>
      </c>
      <c r="B284" s="15" t="s">
        <v>380</v>
      </c>
      <c r="C284" s="5" t="s">
        <v>354</v>
      </c>
      <c r="D284" s="5">
        <f t="shared" si="53"/>
        <v>0</v>
      </c>
      <c r="E284" s="5">
        <v>0</v>
      </c>
      <c r="F284" s="5">
        <f t="shared" si="54"/>
        <v>0</v>
      </c>
      <c r="G284" s="5">
        <v>0</v>
      </c>
      <c r="H284" s="5">
        <f t="shared" si="55"/>
        <v>0</v>
      </c>
      <c r="I284" s="5">
        <v>0</v>
      </c>
      <c r="J284" s="5">
        <f t="shared" si="56"/>
        <v>0</v>
      </c>
      <c r="K284" s="5">
        <v>0</v>
      </c>
      <c r="L284" s="5">
        <f t="shared" si="57"/>
        <v>0</v>
      </c>
      <c r="M284" s="5">
        <v>0</v>
      </c>
      <c r="N284" s="6">
        <f t="shared" si="58"/>
        <v>200000</v>
      </c>
    </row>
    <row r="285" spans="1:14" x14ac:dyDescent="0.45">
      <c r="A285" s="10">
        <f t="shared" si="59"/>
        <v>284</v>
      </c>
      <c r="B285" s="15" t="s">
        <v>381</v>
      </c>
      <c r="C285" s="5" t="s">
        <v>354</v>
      </c>
      <c r="D285" s="5">
        <f t="shared" si="53"/>
        <v>0</v>
      </c>
      <c r="E285" s="5">
        <v>0</v>
      </c>
      <c r="F285" s="5">
        <f t="shared" si="54"/>
        <v>0</v>
      </c>
      <c r="G285" s="5">
        <v>0</v>
      </c>
      <c r="H285" s="5">
        <f t="shared" si="55"/>
        <v>0</v>
      </c>
      <c r="I285" s="5">
        <v>0</v>
      </c>
      <c r="J285" s="5">
        <f t="shared" si="56"/>
        <v>20000</v>
      </c>
      <c r="K285" s="5">
        <v>1</v>
      </c>
      <c r="L285" s="5">
        <f t="shared" si="57"/>
        <v>0</v>
      </c>
      <c r="M285" s="5">
        <v>0</v>
      </c>
      <c r="N285" s="6">
        <f t="shared" si="58"/>
        <v>180000</v>
      </c>
    </row>
    <row r="286" spans="1:14" x14ac:dyDescent="0.45">
      <c r="A286" s="10">
        <f t="shared" si="59"/>
        <v>285</v>
      </c>
      <c r="B286" s="15" t="s">
        <v>382</v>
      </c>
      <c r="C286" s="5" t="s">
        <v>354</v>
      </c>
      <c r="D286" s="5">
        <f t="shared" si="53"/>
        <v>0</v>
      </c>
      <c r="E286" s="5">
        <v>0</v>
      </c>
      <c r="F286" s="5">
        <f t="shared" si="54"/>
        <v>0</v>
      </c>
      <c r="G286" s="5">
        <v>0</v>
      </c>
      <c r="H286" s="5">
        <f t="shared" si="55"/>
        <v>0</v>
      </c>
      <c r="I286" s="5">
        <v>0</v>
      </c>
      <c r="J286" s="5">
        <f t="shared" si="56"/>
        <v>20000</v>
      </c>
      <c r="K286" s="5">
        <v>1</v>
      </c>
      <c r="L286" s="5">
        <f t="shared" si="57"/>
        <v>60000</v>
      </c>
      <c r="M286" s="5">
        <v>2</v>
      </c>
      <c r="N286" s="6">
        <f t="shared" si="58"/>
        <v>120000</v>
      </c>
    </row>
    <row r="287" spans="1:14" x14ac:dyDescent="0.45">
      <c r="A287" s="10">
        <f t="shared" si="59"/>
        <v>286</v>
      </c>
      <c r="B287" s="15" t="s">
        <v>383</v>
      </c>
      <c r="C287" s="5" t="s">
        <v>354</v>
      </c>
      <c r="D287" s="5">
        <f t="shared" si="53"/>
        <v>0</v>
      </c>
      <c r="E287" s="5">
        <v>0</v>
      </c>
      <c r="F287" s="5">
        <f t="shared" si="54"/>
        <v>0</v>
      </c>
      <c r="G287" s="5">
        <v>0</v>
      </c>
      <c r="H287" s="5">
        <f t="shared" si="55"/>
        <v>0</v>
      </c>
      <c r="I287" s="5">
        <v>0</v>
      </c>
      <c r="J287" s="5">
        <f t="shared" si="56"/>
        <v>80000</v>
      </c>
      <c r="K287" s="5">
        <v>4</v>
      </c>
      <c r="L287" s="5">
        <f t="shared" si="57"/>
        <v>30000</v>
      </c>
      <c r="M287" s="5">
        <v>1</v>
      </c>
      <c r="N287" s="6">
        <f t="shared" si="58"/>
        <v>90000</v>
      </c>
    </row>
    <row r="288" spans="1:14" x14ac:dyDescent="0.45">
      <c r="A288" s="10">
        <f t="shared" si="59"/>
        <v>287</v>
      </c>
      <c r="B288" s="15" t="s">
        <v>384</v>
      </c>
      <c r="C288" s="5" t="s">
        <v>354</v>
      </c>
      <c r="D288" s="5">
        <f t="shared" si="53"/>
        <v>0</v>
      </c>
      <c r="E288" s="5">
        <v>0</v>
      </c>
      <c r="F288" s="5">
        <f t="shared" si="54"/>
        <v>0</v>
      </c>
      <c r="G288" s="5">
        <v>0</v>
      </c>
      <c r="H288" s="5">
        <f t="shared" si="55"/>
        <v>0</v>
      </c>
      <c r="I288" s="5">
        <v>0</v>
      </c>
      <c r="J288" s="5">
        <f t="shared" si="56"/>
        <v>0</v>
      </c>
      <c r="K288" s="5">
        <v>0</v>
      </c>
      <c r="L288" s="5">
        <f t="shared" si="57"/>
        <v>0</v>
      </c>
      <c r="M288" s="5">
        <v>0</v>
      </c>
      <c r="N288" s="6">
        <f t="shared" si="58"/>
        <v>200000</v>
      </c>
    </row>
    <row r="289" spans="1:14" x14ac:dyDescent="0.45">
      <c r="A289" s="10">
        <f t="shared" si="59"/>
        <v>288</v>
      </c>
      <c r="B289" s="15" t="s">
        <v>385</v>
      </c>
      <c r="C289" s="5" t="s">
        <v>354</v>
      </c>
      <c r="D289" s="5">
        <f t="shared" si="53"/>
        <v>0</v>
      </c>
      <c r="E289" s="5">
        <v>0</v>
      </c>
      <c r="F289" s="5">
        <f t="shared" si="54"/>
        <v>0</v>
      </c>
      <c r="G289" s="5">
        <v>0</v>
      </c>
      <c r="H289" s="5">
        <f t="shared" si="55"/>
        <v>20000</v>
      </c>
      <c r="I289" s="5">
        <v>1</v>
      </c>
      <c r="J289" s="5">
        <f t="shared" si="56"/>
        <v>80000</v>
      </c>
      <c r="K289" s="5">
        <v>4</v>
      </c>
      <c r="L289" s="5">
        <f t="shared" si="57"/>
        <v>0</v>
      </c>
      <c r="M289" s="5">
        <v>0</v>
      </c>
      <c r="N289" s="6">
        <f t="shared" si="58"/>
        <v>100000</v>
      </c>
    </row>
    <row r="290" spans="1:14" x14ac:dyDescent="0.45">
      <c r="A290" s="10">
        <f t="shared" si="59"/>
        <v>289</v>
      </c>
      <c r="B290" s="15" t="s">
        <v>386</v>
      </c>
      <c r="C290" s="5" t="s">
        <v>354</v>
      </c>
      <c r="D290" s="5">
        <f t="shared" si="53"/>
        <v>0</v>
      </c>
      <c r="E290" s="5">
        <v>0</v>
      </c>
      <c r="F290" s="5">
        <f t="shared" si="54"/>
        <v>0</v>
      </c>
      <c r="G290" s="5">
        <v>0</v>
      </c>
      <c r="H290" s="5">
        <f t="shared" si="55"/>
        <v>0</v>
      </c>
      <c r="I290" s="5">
        <v>0</v>
      </c>
      <c r="J290" s="5">
        <f t="shared" si="56"/>
        <v>0</v>
      </c>
      <c r="K290" s="5">
        <v>0</v>
      </c>
      <c r="L290" s="5">
        <f t="shared" si="57"/>
        <v>0</v>
      </c>
      <c r="M290" s="5">
        <v>0</v>
      </c>
      <c r="N290" s="6">
        <f t="shared" si="58"/>
        <v>200000</v>
      </c>
    </row>
    <row r="291" spans="1:14" x14ac:dyDescent="0.45">
      <c r="A291" s="10">
        <f t="shared" si="59"/>
        <v>290</v>
      </c>
      <c r="B291" s="15" t="s">
        <v>387</v>
      </c>
      <c r="C291" s="5" t="s">
        <v>354</v>
      </c>
      <c r="D291" s="5">
        <f t="shared" si="53"/>
        <v>0</v>
      </c>
      <c r="E291" s="5">
        <v>0</v>
      </c>
      <c r="F291" s="5">
        <f t="shared" si="54"/>
        <v>0</v>
      </c>
      <c r="G291" s="5">
        <v>0</v>
      </c>
      <c r="H291" s="5">
        <f t="shared" si="55"/>
        <v>20000</v>
      </c>
      <c r="I291" s="5">
        <v>1</v>
      </c>
      <c r="J291" s="5">
        <f t="shared" si="56"/>
        <v>0</v>
      </c>
      <c r="K291" s="5">
        <v>0</v>
      </c>
      <c r="L291" s="5">
        <f t="shared" si="57"/>
        <v>0</v>
      </c>
      <c r="M291" s="5">
        <v>0</v>
      </c>
      <c r="N291" s="6">
        <f t="shared" si="58"/>
        <v>180000</v>
      </c>
    </row>
    <row r="292" spans="1:14" x14ac:dyDescent="0.45">
      <c r="A292" s="10">
        <f t="shared" si="59"/>
        <v>291</v>
      </c>
      <c r="B292" s="15" t="s">
        <v>388</v>
      </c>
      <c r="C292" s="5" t="s">
        <v>354</v>
      </c>
      <c r="D292" s="5">
        <f t="shared" si="53"/>
        <v>0</v>
      </c>
      <c r="E292" s="5">
        <v>0</v>
      </c>
      <c r="F292" s="5">
        <f t="shared" si="54"/>
        <v>0</v>
      </c>
      <c r="G292" s="5">
        <v>0</v>
      </c>
      <c r="H292" s="5">
        <f t="shared" si="55"/>
        <v>0</v>
      </c>
      <c r="I292" s="5">
        <v>0</v>
      </c>
      <c r="J292" s="5">
        <f t="shared" si="56"/>
        <v>20000</v>
      </c>
      <c r="K292" s="5">
        <v>1</v>
      </c>
      <c r="L292" s="5">
        <f t="shared" si="57"/>
        <v>0</v>
      </c>
      <c r="M292" s="5">
        <v>0</v>
      </c>
      <c r="N292" s="6">
        <f t="shared" si="58"/>
        <v>180000</v>
      </c>
    </row>
    <row r="293" spans="1:14" x14ac:dyDescent="0.45">
      <c r="A293" s="10">
        <f t="shared" si="59"/>
        <v>292</v>
      </c>
      <c r="B293" s="15" t="s">
        <v>389</v>
      </c>
      <c r="C293" s="5" t="s">
        <v>354</v>
      </c>
      <c r="D293" s="5">
        <f t="shared" si="53"/>
        <v>0</v>
      </c>
      <c r="E293" s="5">
        <v>0</v>
      </c>
      <c r="F293" s="5">
        <f t="shared" si="54"/>
        <v>0</v>
      </c>
      <c r="G293" s="5">
        <v>0</v>
      </c>
      <c r="H293" s="5">
        <f t="shared" si="55"/>
        <v>20000</v>
      </c>
      <c r="I293" s="5">
        <v>1</v>
      </c>
      <c r="J293" s="5">
        <f t="shared" si="56"/>
        <v>20000</v>
      </c>
      <c r="K293" s="5">
        <v>1</v>
      </c>
      <c r="L293" s="5">
        <f t="shared" si="57"/>
        <v>0</v>
      </c>
      <c r="M293" s="5">
        <v>0</v>
      </c>
      <c r="N293" s="6">
        <f t="shared" si="58"/>
        <v>160000</v>
      </c>
    </row>
    <row r="294" spans="1:14" x14ac:dyDescent="0.45">
      <c r="A294" s="10">
        <f t="shared" si="59"/>
        <v>293</v>
      </c>
      <c r="B294" s="15" t="s">
        <v>390</v>
      </c>
      <c r="C294" s="5" t="s">
        <v>354</v>
      </c>
      <c r="D294" s="5">
        <f t="shared" si="53"/>
        <v>5000</v>
      </c>
      <c r="E294" s="5">
        <v>1</v>
      </c>
      <c r="F294" s="5">
        <f t="shared" si="54"/>
        <v>0</v>
      </c>
      <c r="G294" s="5">
        <v>0</v>
      </c>
      <c r="H294" s="5">
        <f t="shared" si="55"/>
        <v>0</v>
      </c>
      <c r="I294" s="5">
        <v>0</v>
      </c>
      <c r="J294" s="5">
        <f t="shared" si="56"/>
        <v>260000</v>
      </c>
      <c r="K294" s="5">
        <v>13</v>
      </c>
      <c r="L294" s="5">
        <f t="shared" si="57"/>
        <v>30000</v>
      </c>
      <c r="M294" s="5">
        <v>1</v>
      </c>
      <c r="N294" s="6">
        <f t="shared" si="58"/>
        <v>-95000</v>
      </c>
    </row>
    <row r="295" spans="1:14" x14ac:dyDescent="0.45">
      <c r="A295" s="10">
        <f t="shared" si="59"/>
        <v>294</v>
      </c>
      <c r="B295" s="15" t="s">
        <v>391</v>
      </c>
      <c r="C295" s="5" t="s">
        <v>354</v>
      </c>
      <c r="D295" s="5">
        <f t="shared" si="53"/>
        <v>0</v>
      </c>
      <c r="E295" s="5">
        <v>0</v>
      </c>
      <c r="F295" s="5">
        <f t="shared" si="54"/>
        <v>0</v>
      </c>
      <c r="G295" s="5">
        <v>0</v>
      </c>
      <c r="H295" s="5">
        <f t="shared" si="55"/>
        <v>40000</v>
      </c>
      <c r="I295" s="5">
        <v>2</v>
      </c>
      <c r="J295" s="5">
        <f t="shared" si="56"/>
        <v>0</v>
      </c>
      <c r="K295" s="5">
        <v>0</v>
      </c>
      <c r="L295" s="5">
        <f t="shared" si="57"/>
        <v>0</v>
      </c>
      <c r="M295" s="5">
        <v>0</v>
      </c>
      <c r="N295" s="6">
        <f t="shared" si="58"/>
        <v>160000</v>
      </c>
    </row>
    <row r="296" spans="1:14" x14ac:dyDescent="0.45">
      <c r="A296" s="10">
        <f t="shared" si="59"/>
        <v>295</v>
      </c>
      <c r="B296" s="15" t="s">
        <v>392</v>
      </c>
      <c r="C296" s="5" t="s">
        <v>354</v>
      </c>
      <c r="D296" s="5">
        <f t="shared" si="53"/>
        <v>0</v>
      </c>
      <c r="E296" s="5">
        <v>0</v>
      </c>
      <c r="F296" s="5">
        <f t="shared" si="54"/>
        <v>0</v>
      </c>
      <c r="G296" s="5">
        <v>0</v>
      </c>
      <c r="H296" s="5">
        <f t="shared" si="55"/>
        <v>0</v>
      </c>
      <c r="I296" s="5">
        <v>0</v>
      </c>
      <c r="J296" s="5">
        <f t="shared" si="56"/>
        <v>0</v>
      </c>
      <c r="K296" s="5">
        <v>0</v>
      </c>
      <c r="L296" s="5">
        <f t="shared" si="57"/>
        <v>60000</v>
      </c>
      <c r="M296" s="5">
        <v>2</v>
      </c>
      <c r="N296" s="6">
        <f t="shared" si="58"/>
        <v>140000</v>
      </c>
    </row>
    <row r="297" spans="1:14" x14ac:dyDescent="0.45">
      <c r="A297" s="10">
        <f t="shared" si="59"/>
        <v>296</v>
      </c>
      <c r="B297" s="15" t="s">
        <v>393</v>
      </c>
      <c r="C297" s="5" t="s">
        <v>354</v>
      </c>
      <c r="D297" s="5">
        <f t="shared" si="53"/>
        <v>0</v>
      </c>
      <c r="E297" s="5">
        <v>0</v>
      </c>
      <c r="F297" s="5">
        <f t="shared" si="54"/>
        <v>0</v>
      </c>
      <c r="G297" s="5">
        <v>0</v>
      </c>
      <c r="H297" s="5">
        <f t="shared" si="55"/>
        <v>20000</v>
      </c>
      <c r="I297" s="5">
        <v>1</v>
      </c>
      <c r="J297" s="5">
        <f t="shared" si="56"/>
        <v>40000</v>
      </c>
      <c r="K297" s="5">
        <v>2</v>
      </c>
      <c r="L297" s="5">
        <f t="shared" si="57"/>
        <v>0</v>
      </c>
      <c r="M297" s="5">
        <v>0</v>
      </c>
      <c r="N297" s="6">
        <f t="shared" si="58"/>
        <v>140000</v>
      </c>
    </row>
    <row r="298" spans="1:14" x14ac:dyDescent="0.45">
      <c r="A298" s="10">
        <f t="shared" si="59"/>
        <v>297</v>
      </c>
      <c r="B298" s="15" t="s">
        <v>394</v>
      </c>
      <c r="C298" s="5" t="s">
        <v>354</v>
      </c>
      <c r="D298" s="5">
        <f t="shared" si="53"/>
        <v>0</v>
      </c>
      <c r="E298" s="5">
        <v>0</v>
      </c>
      <c r="F298" s="5">
        <f t="shared" si="54"/>
        <v>0</v>
      </c>
      <c r="G298" s="5">
        <v>0</v>
      </c>
      <c r="H298" s="5">
        <f t="shared" si="55"/>
        <v>0</v>
      </c>
      <c r="I298" s="5">
        <v>0</v>
      </c>
      <c r="J298" s="5">
        <f t="shared" si="56"/>
        <v>60000</v>
      </c>
      <c r="K298" s="5">
        <v>3</v>
      </c>
      <c r="L298" s="5">
        <f t="shared" si="57"/>
        <v>0</v>
      </c>
      <c r="M298" s="5">
        <v>0</v>
      </c>
      <c r="N298" s="6">
        <f t="shared" si="58"/>
        <v>140000</v>
      </c>
    </row>
    <row r="299" spans="1:14" x14ac:dyDescent="0.45">
      <c r="A299" s="10">
        <f t="shared" si="59"/>
        <v>298</v>
      </c>
      <c r="B299" s="15" t="s">
        <v>395</v>
      </c>
      <c r="C299" s="5" t="s">
        <v>354</v>
      </c>
      <c r="D299" s="5">
        <f t="shared" si="53"/>
        <v>0</v>
      </c>
      <c r="E299" s="5">
        <v>0</v>
      </c>
      <c r="F299" s="5">
        <f t="shared" si="54"/>
        <v>0</v>
      </c>
      <c r="G299" s="5">
        <v>0</v>
      </c>
      <c r="H299" s="5">
        <f t="shared" si="55"/>
        <v>0</v>
      </c>
      <c r="I299" s="5">
        <v>0</v>
      </c>
      <c r="J299" s="5">
        <f t="shared" si="56"/>
        <v>0</v>
      </c>
      <c r="K299" s="5">
        <v>0</v>
      </c>
      <c r="L299" s="5">
        <f t="shared" si="57"/>
        <v>0</v>
      </c>
      <c r="M299" s="5">
        <v>0</v>
      </c>
      <c r="N299" s="6">
        <f t="shared" si="58"/>
        <v>200000</v>
      </c>
    </row>
    <row r="300" spans="1:14" x14ac:dyDescent="0.45">
      <c r="A300" s="10">
        <f t="shared" si="59"/>
        <v>299</v>
      </c>
      <c r="B300" s="15" t="s">
        <v>396</v>
      </c>
      <c r="C300" s="5" t="s">
        <v>354</v>
      </c>
      <c r="D300" s="5">
        <f t="shared" si="53"/>
        <v>0</v>
      </c>
      <c r="E300" s="5">
        <v>0</v>
      </c>
      <c r="F300" s="5">
        <f t="shared" si="54"/>
        <v>0</v>
      </c>
      <c r="G300" s="5">
        <v>0</v>
      </c>
      <c r="H300" s="5">
        <f t="shared" si="55"/>
        <v>0</v>
      </c>
      <c r="I300" s="5">
        <v>0</v>
      </c>
      <c r="J300" s="5">
        <f t="shared" si="56"/>
        <v>0</v>
      </c>
      <c r="K300" s="5">
        <v>0</v>
      </c>
      <c r="L300" s="5">
        <f t="shared" si="57"/>
        <v>0</v>
      </c>
      <c r="M300" s="5">
        <v>0</v>
      </c>
      <c r="N300" s="6">
        <f t="shared" si="58"/>
        <v>200000</v>
      </c>
    </row>
    <row r="301" spans="1:14" x14ac:dyDescent="0.45">
      <c r="A301" s="10">
        <f t="shared" si="59"/>
        <v>300</v>
      </c>
      <c r="B301" s="15" t="s">
        <v>397</v>
      </c>
      <c r="C301" s="5" t="s">
        <v>354</v>
      </c>
      <c r="D301" s="5">
        <f t="shared" si="53"/>
        <v>0</v>
      </c>
      <c r="E301" s="5">
        <v>0</v>
      </c>
      <c r="F301" s="5">
        <f t="shared" si="54"/>
        <v>0</v>
      </c>
      <c r="G301" s="5">
        <v>0</v>
      </c>
      <c r="H301" s="5">
        <f t="shared" si="55"/>
        <v>0</v>
      </c>
      <c r="I301" s="5">
        <v>0</v>
      </c>
      <c r="J301" s="5">
        <f t="shared" si="56"/>
        <v>0</v>
      </c>
      <c r="K301" s="5">
        <v>0</v>
      </c>
      <c r="L301" s="5">
        <f t="shared" si="57"/>
        <v>0</v>
      </c>
      <c r="M301" s="5">
        <v>0</v>
      </c>
      <c r="N301" s="6">
        <f t="shared" si="58"/>
        <v>200000</v>
      </c>
    </row>
    <row r="302" spans="1:14" x14ac:dyDescent="0.45">
      <c r="A302" s="10">
        <f t="shared" si="59"/>
        <v>301</v>
      </c>
      <c r="B302" s="15" t="s">
        <v>398</v>
      </c>
      <c r="C302" s="5" t="s">
        <v>354</v>
      </c>
      <c r="D302" s="5">
        <f t="shared" si="53"/>
        <v>0</v>
      </c>
      <c r="E302" s="5">
        <v>0</v>
      </c>
      <c r="F302" s="5">
        <f t="shared" si="54"/>
        <v>0</v>
      </c>
      <c r="G302" s="5">
        <v>0</v>
      </c>
      <c r="H302" s="5">
        <f t="shared" si="55"/>
        <v>0</v>
      </c>
      <c r="I302" s="5">
        <v>0</v>
      </c>
      <c r="J302" s="5">
        <f t="shared" si="56"/>
        <v>0</v>
      </c>
      <c r="K302" s="5">
        <v>0</v>
      </c>
      <c r="L302" s="5">
        <f t="shared" si="57"/>
        <v>0</v>
      </c>
      <c r="M302" s="5">
        <v>0</v>
      </c>
      <c r="N302" s="6">
        <f t="shared" si="58"/>
        <v>200000</v>
      </c>
    </row>
    <row r="303" spans="1:14" x14ac:dyDescent="0.45">
      <c r="A303" s="10">
        <f t="shared" si="59"/>
        <v>302</v>
      </c>
      <c r="B303" s="15" t="s">
        <v>399</v>
      </c>
      <c r="C303" s="5" t="s">
        <v>354</v>
      </c>
      <c r="D303" s="5">
        <f t="shared" si="53"/>
        <v>0</v>
      </c>
      <c r="E303" s="5">
        <v>0</v>
      </c>
      <c r="F303" s="5">
        <f t="shared" si="54"/>
        <v>0</v>
      </c>
      <c r="G303" s="5">
        <v>0</v>
      </c>
      <c r="H303" s="5">
        <f t="shared" si="55"/>
        <v>0</v>
      </c>
      <c r="I303" s="5">
        <v>0</v>
      </c>
      <c r="J303" s="5">
        <f t="shared" si="56"/>
        <v>0</v>
      </c>
      <c r="K303" s="5">
        <v>0</v>
      </c>
      <c r="L303" s="5">
        <f t="shared" si="57"/>
        <v>0</v>
      </c>
      <c r="M303" s="5">
        <v>0</v>
      </c>
      <c r="N303" s="6">
        <f t="shared" si="58"/>
        <v>200000</v>
      </c>
    </row>
    <row r="304" spans="1:14" x14ac:dyDescent="0.45">
      <c r="A304" s="10">
        <f t="shared" si="59"/>
        <v>303</v>
      </c>
      <c r="B304" s="15" t="s">
        <v>400</v>
      </c>
      <c r="C304" s="5" t="s">
        <v>354</v>
      </c>
      <c r="D304" s="5">
        <f t="shared" si="53"/>
        <v>0</v>
      </c>
      <c r="E304" s="5">
        <v>0</v>
      </c>
      <c r="F304" s="5">
        <f t="shared" si="54"/>
        <v>0</v>
      </c>
      <c r="G304" s="5">
        <v>0</v>
      </c>
      <c r="H304" s="5">
        <f t="shared" si="55"/>
        <v>0</v>
      </c>
      <c r="I304" s="5">
        <v>0</v>
      </c>
      <c r="J304" s="5">
        <f t="shared" si="56"/>
        <v>0</v>
      </c>
      <c r="K304" s="5">
        <v>0</v>
      </c>
      <c r="L304" s="5">
        <f t="shared" si="57"/>
        <v>0</v>
      </c>
      <c r="M304" s="5">
        <v>0</v>
      </c>
      <c r="N304" s="6">
        <f t="shared" si="58"/>
        <v>200000</v>
      </c>
    </row>
    <row r="305" spans="1:14" x14ac:dyDescent="0.45">
      <c r="A305" s="10">
        <f t="shared" si="59"/>
        <v>304</v>
      </c>
      <c r="B305" s="15" t="s">
        <v>401</v>
      </c>
      <c r="C305" s="5" t="s">
        <v>354</v>
      </c>
      <c r="D305" s="5">
        <f t="shared" si="53"/>
        <v>0</v>
      </c>
      <c r="E305" s="5">
        <v>0</v>
      </c>
      <c r="F305" s="5">
        <f t="shared" si="54"/>
        <v>0</v>
      </c>
      <c r="G305" s="5">
        <v>0</v>
      </c>
      <c r="H305" s="5">
        <f t="shared" si="55"/>
        <v>0</v>
      </c>
      <c r="I305" s="5">
        <v>0</v>
      </c>
      <c r="J305" s="5">
        <f t="shared" si="56"/>
        <v>0</v>
      </c>
      <c r="K305" s="5">
        <v>0</v>
      </c>
      <c r="L305" s="5">
        <f t="shared" si="57"/>
        <v>0</v>
      </c>
      <c r="M305" s="5">
        <v>0</v>
      </c>
      <c r="N305" s="6">
        <f t="shared" si="58"/>
        <v>200000</v>
      </c>
    </row>
  </sheetData>
  <phoneticPr fontId="4" type="noConversion"/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مرجع!$A:$A</xm:f>
          </x14:formula1>
          <xm:sqref>B2:B305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21"/>
  <sheetViews>
    <sheetView rightToLeft="1" workbookViewId="0">
      <selection activeCell="R6" sqref="R6"/>
    </sheetView>
  </sheetViews>
  <sheetFormatPr defaultRowHeight="14.25" x14ac:dyDescent="0.45"/>
  <cols>
    <col min="1" max="1" width="9.59765625" style="8" customWidth="1"/>
    <col min="2" max="2" width="14.3984375" style="8" customWidth="1"/>
    <col min="3" max="3" width="13.3984375" style="8" customWidth="1"/>
    <col min="4" max="4" width="8.3984375" style="8" hidden="1" customWidth="1"/>
    <col min="5" max="5" width="16.59765625" style="8" bestFit="1" customWidth="1"/>
    <col min="6" max="6" width="14.265625" style="8" hidden="1" customWidth="1"/>
    <col min="7" max="7" width="22.3984375" style="8" customWidth="1"/>
    <col min="8" max="8" width="9.59765625" style="8" hidden="1" customWidth="1"/>
    <col min="9" max="9" width="14.3984375" style="8" customWidth="1"/>
    <col min="10" max="10" width="9.59765625" style="8" hidden="1" customWidth="1"/>
    <col min="11" max="11" width="12.3984375" style="8" bestFit="1" customWidth="1"/>
    <col min="12" max="12" width="8.1328125" style="8" hidden="1" customWidth="1"/>
    <col min="13" max="13" width="10.86328125" style="8" customWidth="1"/>
    <col min="14" max="14" width="9.59765625" style="8" customWidth="1"/>
  </cols>
  <sheetData>
    <row r="1" spans="1:14" s="31" customFormat="1" ht="42.75" x14ac:dyDescent="0.45">
      <c r="A1" s="28" t="s">
        <v>343</v>
      </c>
      <c r="B1" s="29" t="s">
        <v>0</v>
      </c>
      <c r="C1" s="29" t="s">
        <v>342</v>
      </c>
      <c r="D1" s="29" t="s">
        <v>349</v>
      </c>
      <c r="E1" s="29" t="s">
        <v>365</v>
      </c>
      <c r="F1" s="29" t="s">
        <v>350</v>
      </c>
      <c r="G1" s="29" t="s">
        <v>366</v>
      </c>
      <c r="H1" s="29" t="s">
        <v>351</v>
      </c>
      <c r="I1" s="29" t="s">
        <v>367</v>
      </c>
      <c r="J1" s="29" t="s">
        <v>352</v>
      </c>
      <c r="K1" s="29" t="s">
        <v>368</v>
      </c>
      <c r="L1" s="29" t="s">
        <v>353</v>
      </c>
      <c r="M1" s="29" t="s">
        <v>364</v>
      </c>
      <c r="N1" s="30" t="s">
        <v>346</v>
      </c>
    </row>
    <row r="2" spans="1:14" x14ac:dyDescent="0.45">
      <c r="A2" s="17">
        <f>ROW(A2)-1</f>
        <v>1</v>
      </c>
      <c r="B2" s="18" t="s">
        <v>68</v>
      </c>
      <c r="C2" s="18" t="s">
        <v>355</v>
      </c>
      <c r="D2" s="18">
        <f t="shared" ref="D2:D33" si="0">E2*2000</f>
        <v>2000</v>
      </c>
      <c r="E2" s="18">
        <v>1</v>
      </c>
      <c r="F2" s="18">
        <f t="shared" ref="F2:F33" si="1">G2*20000</f>
        <v>0</v>
      </c>
      <c r="G2" s="18">
        <v>0</v>
      </c>
      <c r="H2" s="18">
        <v>0</v>
      </c>
      <c r="I2" s="18">
        <v>0</v>
      </c>
      <c r="J2" s="18">
        <f t="shared" ref="J2:J65" si="2">K2*30000</f>
        <v>90000</v>
      </c>
      <c r="K2" s="18">
        <v>3</v>
      </c>
      <c r="L2" s="18">
        <f t="shared" ref="L2:L65" si="3">M2*50000</f>
        <v>100000</v>
      </c>
      <c r="M2" s="18">
        <v>2</v>
      </c>
      <c r="N2" s="19">
        <f t="shared" ref="N2:N65" si="4">200000-L2-J2-H2-F2-D2</f>
        <v>8000</v>
      </c>
    </row>
    <row r="3" spans="1:14" x14ac:dyDescent="0.45">
      <c r="A3" s="17">
        <f t="shared" ref="A3:A66" si="5">ROW(A3)-1</f>
        <v>2</v>
      </c>
      <c r="B3" s="18" t="s">
        <v>69</v>
      </c>
      <c r="C3" s="18" t="s">
        <v>355</v>
      </c>
      <c r="D3" s="18">
        <f t="shared" si="0"/>
        <v>2000</v>
      </c>
      <c r="E3" s="18">
        <v>1</v>
      </c>
      <c r="F3" s="18">
        <f t="shared" si="1"/>
        <v>0</v>
      </c>
      <c r="G3" s="18">
        <v>0</v>
      </c>
      <c r="H3" s="18">
        <v>0</v>
      </c>
      <c r="I3" s="18">
        <v>0</v>
      </c>
      <c r="J3" s="18">
        <f t="shared" si="2"/>
        <v>90000</v>
      </c>
      <c r="K3" s="18">
        <v>3</v>
      </c>
      <c r="L3" s="18">
        <f t="shared" si="3"/>
        <v>100000</v>
      </c>
      <c r="M3" s="18">
        <v>2</v>
      </c>
      <c r="N3" s="19">
        <f t="shared" si="4"/>
        <v>8000</v>
      </c>
    </row>
    <row r="4" spans="1:14" x14ac:dyDescent="0.45">
      <c r="A4" s="17">
        <f t="shared" si="5"/>
        <v>3</v>
      </c>
      <c r="B4" s="18" t="s">
        <v>70</v>
      </c>
      <c r="C4" s="18" t="s">
        <v>355</v>
      </c>
      <c r="D4" s="18">
        <f t="shared" si="0"/>
        <v>0</v>
      </c>
      <c r="E4" s="18">
        <v>0</v>
      </c>
      <c r="F4" s="18">
        <f t="shared" si="1"/>
        <v>0</v>
      </c>
      <c r="G4" s="18">
        <v>0</v>
      </c>
      <c r="H4" s="18">
        <v>0</v>
      </c>
      <c r="I4" s="18">
        <v>0</v>
      </c>
      <c r="J4" s="18">
        <f t="shared" si="2"/>
        <v>30000</v>
      </c>
      <c r="K4" s="18">
        <v>1</v>
      </c>
      <c r="L4" s="18">
        <f t="shared" si="3"/>
        <v>0</v>
      </c>
      <c r="M4" s="18">
        <v>0</v>
      </c>
      <c r="N4" s="19">
        <f t="shared" si="4"/>
        <v>170000</v>
      </c>
    </row>
    <row r="5" spans="1:14" x14ac:dyDescent="0.45">
      <c r="A5" s="17">
        <f t="shared" si="5"/>
        <v>4</v>
      </c>
      <c r="B5" s="18" t="s">
        <v>71</v>
      </c>
      <c r="C5" s="18" t="s">
        <v>355</v>
      </c>
      <c r="D5" s="18">
        <f t="shared" si="0"/>
        <v>0</v>
      </c>
      <c r="E5" s="18">
        <v>0</v>
      </c>
      <c r="F5" s="18">
        <f t="shared" si="1"/>
        <v>0</v>
      </c>
      <c r="G5" s="18">
        <v>0</v>
      </c>
      <c r="H5" s="18">
        <v>0</v>
      </c>
      <c r="I5" s="18">
        <v>0</v>
      </c>
      <c r="J5" s="18">
        <f t="shared" si="2"/>
        <v>90000</v>
      </c>
      <c r="K5" s="18">
        <v>3</v>
      </c>
      <c r="L5" s="18">
        <f t="shared" si="3"/>
        <v>50000</v>
      </c>
      <c r="M5" s="18">
        <v>1</v>
      </c>
      <c r="N5" s="19">
        <f t="shared" si="4"/>
        <v>60000</v>
      </c>
    </row>
    <row r="6" spans="1:14" x14ac:dyDescent="0.45">
      <c r="A6" s="17">
        <f t="shared" si="5"/>
        <v>5</v>
      </c>
      <c r="B6" s="18" t="s">
        <v>72</v>
      </c>
      <c r="C6" s="18" t="s">
        <v>355</v>
      </c>
      <c r="D6" s="18">
        <f t="shared" si="0"/>
        <v>0</v>
      </c>
      <c r="E6" s="18">
        <v>0</v>
      </c>
      <c r="F6" s="18">
        <f t="shared" si="1"/>
        <v>0</v>
      </c>
      <c r="G6" s="18">
        <v>0</v>
      </c>
      <c r="H6" s="18">
        <v>0</v>
      </c>
      <c r="I6" s="18">
        <v>0</v>
      </c>
      <c r="J6" s="18">
        <f t="shared" si="2"/>
        <v>30000</v>
      </c>
      <c r="K6" s="18">
        <v>1</v>
      </c>
      <c r="L6" s="18">
        <f t="shared" si="3"/>
        <v>50000</v>
      </c>
      <c r="M6" s="18">
        <v>1</v>
      </c>
      <c r="N6" s="19">
        <f t="shared" si="4"/>
        <v>120000</v>
      </c>
    </row>
    <row r="7" spans="1:14" x14ac:dyDescent="0.45">
      <c r="A7" s="17">
        <f t="shared" si="5"/>
        <v>6</v>
      </c>
      <c r="B7" s="18" t="s">
        <v>73</v>
      </c>
      <c r="C7" s="18" t="s">
        <v>355</v>
      </c>
      <c r="D7" s="18">
        <f t="shared" si="0"/>
        <v>0</v>
      </c>
      <c r="E7" s="18">
        <v>0</v>
      </c>
      <c r="F7" s="18">
        <f t="shared" si="1"/>
        <v>0</v>
      </c>
      <c r="G7" s="18">
        <v>0</v>
      </c>
      <c r="H7" s="18">
        <f t="shared" ref="H7:H33" si="6">I7*30000</f>
        <v>0</v>
      </c>
      <c r="I7" s="18">
        <v>0</v>
      </c>
      <c r="J7" s="18">
        <f t="shared" si="2"/>
        <v>30000</v>
      </c>
      <c r="K7" s="18">
        <v>1</v>
      </c>
      <c r="L7" s="18">
        <f t="shared" si="3"/>
        <v>0</v>
      </c>
      <c r="M7" s="18">
        <v>0</v>
      </c>
      <c r="N7" s="19">
        <f t="shared" si="4"/>
        <v>170000</v>
      </c>
    </row>
    <row r="8" spans="1:14" x14ac:dyDescent="0.45">
      <c r="A8" s="17">
        <f t="shared" si="5"/>
        <v>7</v>
      </c>
      <c r="B8" s="18" t="s">
        <v>74</v>
      </c>
      <c r="C8" s="18" t="s">
        <v>355</v>
      </c>
      <c r="D8" s="18">
        <f t="shared" si="0"/>
        <v>0</v>
      </c>
      <c r="E8" s="18">
        <v>0</v>
      </c>
      <c r="F8" s="18">
        <f t="shared" si="1"/>
        <v>0</v>
      </c>
      <c r="G8" s="18">
        <v>0</v>
      </c>
      <c r="H8" s="18">
        <f t="shared" si="6"/>
        <v>0</v>
      </c>
      <c r="I8" s="18">
        <v>0</v>
      </c>
      <c r="J8" s="18">
        <f t="shared" si="2"/>
        <v>120000</v>
      </c>
      <c r="K8" s="18">
        <v>4</v>
      </c>
      <c r="L8" s="18">
        <f t="shared" si="3"/>
        <v>100000</v>
      </c>
      <c r="M8" s="18">
        <v>2</v>
      </c>
      <c r="N8" s="19">
        <f t="shared" si="4"/>
        <v>-20000</v>
      </c>
    </row>
    <row r="9" spans="1:14" x14ac:dyDescent="0.45">
      <c r="A9" s="17">
        <f t="shared" si="5"/>
        <v>8</v>
      </c>
      <c r="B9" s="18" t="s">
        <v>75</v>
      </c>
      <c r="C9" s="18" t="s">
        <v>355</v>
      </c>
      <c r="D9" s="18">
        <f t="shared" si="0"/>
        <v>0</v>
      </c>
      <c r="E9" s="18">
        <v>0</v>
      </c>
      <c r="F9" s="18">
        <f t="shared" si="1"/>
        <v>0</v>
      </c>
      <c r="G9" s="18">
        <v>0</v>
      </c>
      <c r="H9" s="18">
        <f t="shared" si="6"/>
        <v>0</v>
      </c>
      <c r="I9" s="18">
        <v>0</v>
      </c>
      <c r="J9" s="18">
        <f t="shared" si="2"/>
        <v>30000</v>
      </c>
      <c r="K9" s="5">
        <v>1</v>
      </c>
      <c r="L9" s="18">
        <f t="shared" si="3"/>
        <v>50000</v>
      </c>
      <c r="M9" s="5">
        <v>1</v>
      </c>
      <c r="N9" s="19">
        <f t="shared" si="4"/>
        <v>120000</v>
      </c>
    </row>
    <row r="10" spans="1:14" x14ac:dyDescent="0.45">
      <c r="A10" s="17">
        <f t="shared" si="5"/>
        <v>9</v>
      </c>
      <c r="B10" s="18" t="s">
        <v>76</v>
      </c>
      <c r="C10" s="18" t="s">
        <v>355</v>
      </c>
      <c r="D10" s="18">
        <f t="shared" si="0"/>
        <v>0</v>
      </c>
      <c r="E10" s="18">
        <v>0</v>
      </c>
      <c r="F10" s="18">
        <f t="shared" si="1"/>
        <v>0</v>
      </c>
      <c r="G10" s="18">
        <v>0</v>
      </c>
      <c r="H10" s="18">
        <f t="shared" si="6"/>
        <v>0</v>
      </c>
      <c r="I10" s="18">
        <v>0</v>
      </c>
      <c r="J10" s="18">
        <f t="shared" si="2"/>
        <v>60000</v>
      </c>
      <c r="K10" s="5">
        <v>2</v>
      </c>
      <c r="L10" s="18">
        <f t="shared" si="3"/>
        <v>50000</v>
      </c>
      <c r="M10" s="5">
        <v>1</v>
      </c>
      <c r="N10" s="19">
        <f t="shared" si="4"/>
        <v>90000</v>
      </c>
    </row>
    <row r="11" spans="1:14" x14ac:dyDescent="0.45">
      <c r="A11" s="17">
        <f t="shared" si="5"/>
        <v>10</v>
      </c>
      <c r="B11" s="18" t="s">
        <v>77</v>
      </c>
      <c r="C11" s="18" t="s">
        <v>355</v>
      </c>
      <c r="D11" s="18">
        <f t="shared" si="0"/>
        <v>0</v>
      </c>
      <c r="E11" s="18">
        <v>0</v>
      </c>
      <c r="F11" s="18">
        <f t="shared" si="1"/>
        <v>0</v>
      </c>
      <c r="G11" s="18">
        <v>0</v>
      </c>
      <c r="H11" s="18">
        <f t="shared" si="6"/>
        <v>0</v>
      </c>
      <c r="I11" s="18">
        <v>0</v>
      </c>
      <c r="J11" s="18">
        <f t="shared" si="2"/>
        <v>0</v>
      </c>
      <c r="K11" s="5">
        <v>0</v>
      </c>
      <c r="L11" s="18">
        <f t="shared" si="3"/>
        <v>0</v>
      </c>
      <c r="M11" s="5">
        <v>0</v>
      </c>
      <c r="N11" s="19">
        <f t="shared" si="4"/>
        <v>200000</v>
      </c>
    </row>
    <row r="12" spans="1:14" x14ac:dyDescent="0.45">
      <c r="A12" s="17">
        <f t="shared" si="5"/>
        <v>11</v>
      </c>
      <c r="B12" s="18" t="s">
        <v>78</v>
      </c>
      <c r="C12" s="18" t="s">
        <v>355</v>
      </c>
      <c r="D12" s="18">
        <f t="shared" si="0"/>
        <v>0</v>
      </c>
      <c r="E12" s="18">
        <v>0</v>
      </c>
      <c r="F12" s="18">
        <f t="shared" si="1"/>
        <v>0</v>
      </c>
      <c r="G12" s="18">
        <v>0</v>
      </c>
      <c r="H12" s="18">
        <f t="shared" si="6"/>
        <v>0</v>
      </c>
      <c r="I12" s="18">
        <v>0</v>
      </c>
      <c r="J12" s="18">
        <f t="shared" si="2"/>
        <v>90000</v>
      </c>
      <c r="K12" s="18">
        <v>3</v>
      </c>
      <c r="L12" s="18">
        <f t="shared" si="3"/>
        <v>150000</v>
      </c>
      <c r="M12" s="18">
        <v>3</v>
      </c>
      <c r="N12" s="19">
        <f t="shared" si="4"/>
        <v>-40000</v>
      </c>
    </row>
    <row r="13" spans="1:14" x14ac:dyDescent="0.45">
      <c r="A13" s="17">
        <f t="shared" si="5"/>
        <v>12</v>
      </c>
      <c r="B13" s="18" t="s">
        <v>79</v>
      </c>
      <c r="C13" s="18" t="s">
        <v>355</v>
      </c>
      <c r="D13" s="18">
        <f t="shared" si="0"/>
        <v>0</v>
      </c>
      <c r="E13" s="18">
        <v>0</v>
      </c>
      <c r="F13" s="18">
        <f t="shared" si="1"/>
        <v>0</v>
      </c>
      <c r="G13" s="18">
        <v>0</v>
      </c>
      <c r="H13" s="18">
        <f t="shared" si="6"/>
        <v>0</v>
      </c>
      <c r="I13" s="18">
        <v>0</v>
      </c>
      <c r="J13" s="18">
        <f t="shared" si="2"/>
        <v>60000</v>
      </c>
      <c r="K13" s="18">
        <v>2</v>
      </c>
      <c r="L13" s="18">
        <f t="shared" si="3"/>
        <v>100000</v>
      </c>
      <c r="M13" s="18">
        <v>2</v>
      </c>
      <c r="N13" s="19">
        <f t="shared" si="4"/>
        <v>40000</v>
      </c>
    </row>
    <row r="14" spans="1:14" x14ac:dyDescent="0.45">
      <c r="A14" s="17">
        <f t="shared" si="5"/>
        <v>13</v>
      </c>
      <c r="B14" s="18" t="s">
        <v>80</v>
      </c>
      <c r="C14" s="18" t="s">
        <v>355</v>
      </c>
      <c r="D14" s="18">
        <f t="shared" si="0"/>
        <v>0</v>
      </c>
      <c r="E14" s="18">
        <v>0</v>
      </c>
      <c r="F14" s="18">
        <f t="shared" si="1"/>
        <v>0</v>
      </c>
      <c r="G14" s="18">
        <v>0</v>
      </c>
      <c r="H14" s="18">
        <f t="shared" si="6"/>
        <v>0</v>
      </c>
      <c r="I14" s="18">
        <v>0</v>
      </c>
      <c r="J14" s="18">
        <f t="shared" si="2"/>
        <v>30000</v>
      </c>
      <c r="K14" s="18">
        <v>1</v>
      </c>
      <c r="L14" s="18">
        <f t="shared" si="3"/>
        <v>0</v>
      </c>
      <c r="M14" s="18">
        <v>0</v>
      </c>
      <c r="N14" s="19">
        <f t="shared" si="4"/>
        <v>170000</v>
      </c>
    </row>
    <row r="15" spans="1:14" x14ac:dyDescent="0.45">
      <c r="A15" s="17">
        <f t="shared" si="5"/>
        <v>14</v>
      </c>
      <c r="B15" s="18" t="s">
        <v>81</v>
      </c>
      <c r="C15" s="18" t="s">
        <v>355</v>
      </c>
      <c r="D15" s="18">
        <f t="shared" si="0"/>
        <v>0</v>
      </c>
      <c r="E15" s="18">
        <v>0</v>
      </c>
      <c r="F15" s="18">
        <f t="shared" si="1"/>
        <v>0</v>
      </c>
      <c r="G15" s="18">
        <v>0</v>
      </c>
      <c r="H15" s="18">
        <f t="shared" si="6"/>
        <v>0</v>
      </c>
      <c r="I15" s="18">
        <v>0</v>
      </c>
      <c r="J15" s="18">
        <f t="shared" si="2"/>
        <v>30000</v>
      </c>
      <c r="K15" s="18">
        <v>1</v>
      </c>
      <c r="L15" s="18">
        <v>50000</v>
      </c>
      <c r="M15" s="18">
        <v>1</v>
      </c>
      <c r="N15" s="19">
        <f t="shared" si="4"/>
        <v>120000</v>
      </c>
    </row>
    <row r="16" spans="1:14" x14ac:dyDescent="0.45">
      <c r="A16" s="17">
        <f t="shared" si="5"/>
        <v>15</v>
      </c>
      <c r="B16" s="18" t="s">
        <v>82</v>
      </c>
      <c r="C16" s="18" t="s">
        <v>355</v>
      </c>
      <c r="D16" s="18">
        <f t="shared" si="0"/>
        <v>0</v>
      </c>
      <c r="E16" s="18">
        <v>0</v>
      </c>
      <c r="F16" s="18">
        <f t="shared" si="1"/>
        <v>0</v>
      </c>
      <c r="G16" s="18">
        <v>0</v>
      </c>
      <c r="H16" s="18">
        <f t="shared" si="6"/>
        <v>0</v>
      </c>
      <c r="I16" s="18">
        <v>0</v>
      </c>
      <c r="J16" s="18">
        <f t="shared" si="2"/>
        <v>60000</v>
      </c>
      <c r="K16" s="18">
        <v>2</v>
      </c>
      <c r="L16" s="18">
        <v>50000</v>
      </c>
      <c r="M16" s="18">
        <v>1</v>
      </c>
      <c r="N16" s="19">
        <f t="shared" si="4"/>
        <v>90000</v>
      </c>
    </row>
    <row r="17" spans="1:14" x14ac:dyDescent="0.45">
      <c r="A17" s="17">
        <f t="shared" si="5"/>
        <v>16</v>
      </c>
      <c r="B17" s="18" t="s">
        <v>83</v>
      </c>
      <c r="C17" s="18" t="s">
        <v>355</v>
      </c>
      <c r="D17" s="18">
        <f t="shared" si="0"/>
        <v>0</v>
      </c>
      <c r="E17" s="18">
        <v>0</v>
      </c>
      <c r="F17" s="18">
        <f t="shared" si="1"/>
        <v>0</v>
      </c>
      <c r="G17" s="18">
        <v>0</v>
      </c>
      <c r="H17" s="18">
        <f t="shared" si="6"/>
        <v>0</v>
      </c>
      <c r="I17" s="18">
        <v>0</v>
      </c>
      <c r="J17" s="18">
        <f t="shared" si="2"/>
        <v>30000</v>
      </c>
      <c r="K17" s="18">
        <v>1</v>
      </c>
      <c r="L17" s="18">
        <v>50000</v>
      </c>
      <c r="M17" s="18">
        <v>1</v>
      </c>
      <c r="N17" s="19">
        <f t="shared" si="4"/>
        <v>120000</v>
      </c>
    </row>
    <row r="18" spans="1:14" x14ac:dyDescent="0.45">
      <c r="A18" s="17">
        <f t="shared" si="5"/>
        <v>17</v>
      </c>
      <c r="B18" s="18" t="s">
        <v>84</v>
      </c>
      <c r="C18" s="18" t="s">
        <v>355</v>
      </c>
      <c r="D18" s="18">
        <f t="shared" si="0"/>
        <v>0</v>
      </c>
      <c r="E18" s="18">
        <v>0</v>
      </c>
      <c r="F18" s="18">
        <f t="shared" si="1"/>
        <v>0</v>
      </c>
      <c r="G18" s="18">
        <v>0</v>
      </c>
      <c r="H18" s="18">
        <f t="shared" si="6"/>
        <v>0</v>
      </c>
      <c r="I18" s="18">
        <v>0</v>
      </c>
      <c r="J18" s="18">
        <f t="shared" si="2"/>
        <v>30000</v>
      </c>
      <c r="K18" s="18">
        <v>1</v>
      </c>
      <c r="L18" s="18">
        <f t="shared" si="3"/>
        <v>0</v>
      </c>
      <c r="M18" s="18">
        <v>0</v>
      </c>
      <c r="N18" s="19">
        <f t="shared" si="4"/>
        <v>170000</v>
      </c>
    </row>
    <row r="19" spans="1:14" x14ac:dyDescent="0.45">
      <c r="A19" s="17">
        <f t="shared" si="5"/>
        <v>18</v>
      </c>
      <c r="B19" s="18" t="s">
        <v>85</v>
      </c>
      <c r="C19" s="18" t="s">
        <v>355</v>
      </c>
      <c r="D19" s="18">
        <f t="shared" si="0"/>
        <v>0</v>
      </c>
      <c r="E19" s="18">
        <v>0</v>
      </c>
      <c r="F19" s="18">
        <f t="shared" si="1"/>
        <v>0</v>
      </c>
      <c r="G19" s="18">
        <v>0</v>
      </c>
      <c r="H19" s="18">
        <f t="shared" si="6"/>
        <v>0</v>
      </c>
      <c r="I19" s="18">
        <v>0</v>
      </c>
      <c r="J19" s="18">
        <f t="shared" si="2"/>
        <v>30000</v>
      </c>
      <c r="K19" s="18">
        <v>1</v>
      </c>
      <c r="L19" s="18">
        <f t="shared" si="3"/>
        <v>50000</v>
      </c>
      <c r="M19" s="18">
        <v>1</v>
      </c>
      <c r="N19" s="19">
        <f t="shared" si="4"/>
        <v>120000</v>
      </c>
    </row>
    <row r="20" spans="1:14" x14ac:dyDescent="0.45">
      <c r="A20" s="17">
        <f t="shared" si="5"/>
        <v>19</v>
      </c>
      <c r="B20" s="18" t="s">
        <v>86</v>
      </c>
      <c r="C20" s="18" t="s">
        <v>355</v>
      </c>
      <c r="D20" s="18">
        <f t="shared" si="0"/>
        <v>0</v>
      </c>
      <c r="E20" s="18">
        <v>0</v>
      </c>
      <c r="F20" s="18">
        <f t="shared" si="1"/>
        <v>0</v>
      </c>
      <c r="G20" s="18">
        <v>0</v>
      </c>
      <c r="H20" s="18">
        <f t="shared" si="6"/>
        <v>0</v>
      </c>
      <c r="I20" s="18">
        <v>0</v>
      </c>
      <c r="J20" s="18">
        <f t="shared" si="2"/>
        <v>0</v>
      </c>
      <c r="K20" s="18">
        <v>0</v>
      </c>
      <c r="L20" s="18">
        <f t="shared" si="3"/>
        <v>0</v>
      </c>
      <c r="M20" s="18">
        <v>0</v>
      </c>
      <c r="N20" s="19">
        <f t="shared" si="4"/>
        <v>200000</v>
      </c>
    </row>
    <row r="21" spans="1:14" x14ac:dyDescent="0.45">
      <c r="A21" s="17">
        <f t="shared" si="5"/>
        <v>20</v>
      </c>
      <c r="B21" s="5" t="s">
        <v>87</v>
      </c>
      <c r="C21" s="18" t="s">
        <v>355</v>
      </c>
      <c r="D21" s="18">
        <f t="shared" si="0"/>
        <v>0</v>
      </c>
      <c r="E21" s="18">
        <v>0</v>
      </c>
      <c r="F21" s="18">
        <f t="shared" si="1"/>
        <v>20000</v>
      </c>
      <c r="G21" s="18">
        <v>1</v>
      </c>
      <c r="H21" s="18">
        <f t="shared" si="6"/>
        <v>0</v>
      </c>
      <c r="I21" s="18">
        <v>0</v>
      </c>
      <c r="J21" s="18">
        <f t="shared" si="2"/>
        <v>30000</v>
      </c>
      <c r="K21" s="18">
        <v>1</v>
      </c>
      <c r="L21" s="18">
        <f t="shared" si="3"/>
        <v>50000</v>
      </c>
      <c r="M21" s="18">
        <v>1</v>
      </c>
      <c r="N21" s="19">
        <f t="shared" si="4"/>
        <v>100000</v>
      </c>
    </row>
    <row r="22" spans="1:14" x14ac:dyDescent="0.45">
      <c r="A22" s="17">
        <f t="shared" si="5"/>
        <v>21</v>
      </c>
      <c r="B22" s="5" t="s">
        <v>88</v>
      </c>
      <c r="C22" s="18" t="s">
        <v>355</v>
      </c>
      <c r="D22" s="18">
        <f t="shared" si="0"/>
        <v>2000</v>
      </c>
      <c r="E22" s="18">
        <v>1</v>
      </c>
      <c r="F22" s="18">
        <f t="shared" si="1"/>
        <v>0</v>
      </c>
      <c r="G22" s="18">
        <v>0</v>
      </c>
      <c r="H22" s="18">
        <f t="shared" si="6"/>
        <v>0</v>
      </c>
      <c r="I22" s="18">
        <v>0</v>
      </c>
      <c r="J22" s="18">
        <f t="shared" si="2"/>
        <v>90000</v>
      </c>
      <c r="K22" s="18">
        <v>3</v>
      </c>
      <c r="L22" s="18">
        <f t="shared" si="3"/>
        <v>100000</v>
      </c>
      <c r="M22" s="18">
        <v>2</v>
      </c>
      <c r="N22" s="19">
        <f t="shared" si="4"/>
        <v>8000</v>
      </c>
    </row>
    <row r="23" spans="1:14" x14ac:dyDescent="0.45">
      <c r="A23" s="17">
        <f t="shared" si="5"/>
        <v>22</v>
      </c>
      <c r="B23" s="5" t="s">
        <v>89</v>
      </c>
      <c r="C23" s="18" t="s">
        <v>355</v>
      </c>
      <c r="D23" s="18">
        <f t="shared" si="0"/>
        <v>0</v>
      </c>
      <c r="E23" s="18">
        <v>0</v>
      </c>
      <c r="F23" s="18">
        <f t="shared" si="1"/>
        <v>0</v>
      </c>
      <c r="G23" s="18">
        <v>0</v>
      </c>
      <c r="H23" s="18">
        <f t="shared" si="6"/>
        <v>0</v>
      </c>
      <c r="I23" s="18">
        <v>0</v>
      </c>
      <c r="J23" s="18">
        <f t="shared" si="2"/>
        <v>30000</v>
      </c>
      <c r="K23" s="18">
        <v>1</v>
      </c>
      <c r="L23" s="18">
        <f t="shared" si="3"/>
        <v>0</v>
      </c>
      <c r="M23" s="18">
        <v>0</v>
      </c>
      <c r="N23" s="19">
        <f t="shared" si="4"/>
        <v>170000</v>
      </c>
    </row>
    <row r="24" spans="1:14" x14ac:dyDescent="0.45">
      <c r="A24" s="17">
        <f t="shared" si="5"/>
        <v>23</v>
      </c>
      <c r="B24" s="5" t="s">
        <v>90</v>
      </c>
      <c r="C24" s="18" t="s">
        <v>355</v>
      </c>
      <c r="D24" s="18">
        <f t="shared" si="0"/>
        <v>2000</v>
      </c>
      <c r="E24" s="18">
        <v>1</v>
      </c>
      <c r="F24" s="18">
        <f t="shared" si="1"/>
        <v>0</v>
      </c>
      <c r="G24" s="18">
        <v>0</v>
      </c>
      <c r="H24" s="18">
        <f t="shared" si="6"/>
        <v>0</v>
      </c>
      <c r="I24" s="18">
        <v>0</v>
      </c>
      <c r="J24" s="18">
        <f t="shared" si="2"/>
        <v>30000</v>
      </c>
      <c r="K24" s="18">
        <v>1</v>
      </c>
      <c r="L24" s="18">
        <f t="shared" si="3"/>
        <v>50000</v>
      </c>
      <c r="M24" s="18">
        <v>1</v>
      </c>
      <c r="N24" s="19">
        <f t="shared" si="4"/>
        <v>118000</v>
      </c>
    </row>
    <row r="25" spans="1:14" x14ac:dyDescent="0.45">
      <c r="A25" s="17">
        <f t="shared" si="5"/>
        <v>24</v>
      </c>
      <c r="B25" s="5" t="s">
        <v>91</v>
      </c>
      <c r="C25" s="18" t="s">
        <v>355</v>
      </c>
      <c r="D25" s="18">
        <f t="shared" si="0"/>
        <v>0</v>
      </c>
      <c r="E25" s="18">
        <v>0</v>
      </c>
      <c r="F25" s="18">
        <f t="shared" si="1"/>
        <v>0</v>
      </c>
      <c r="G25" s="18">
        <v>0</v>
      </c>
      <c r="H25" s="18">
        <f t="shared" si="6"/>
        <v>0</v>
      </c>
      <c r="I25" s="18">
        <v>0</v>
      </c>
      <c r="J25" s="18">
        <f t="shared" si="2"/>
        <v>90000</v>
      </c>
      <c r="K25" s="18">
        <v>3</v>
      </c>
      <c r="L25" s="18">
        <f t="shared" si="3"/>
        <v>100000</v>
      </c>
      <c r="M25" s="18">
        <v>2</v>
      </c>
      <c r="N25" s="19">
        <f t="shared" si="4"/>
        <v>10000</v>
      </c>
    </row>
    <row r="26" spans="1:14" x14ac:dyDescent="0.45">
      <c r="A26" s="17">
        <f t="shared" si="5"/>
        <v>25</v>
      </c>
      <c r="B26" s="5" t="s">
        <v>92</v>
      </c>
      <c r="C26" s="18" t="s">
        <v>355</v>
      </c>
      <c r="D26" s="18">
        <f t="shared" si="0"/>
        <v>2000</v>
      </c>
      <c r="E26" s="18">
        <v>1</v>
      </c>
      <c r="F26" s="18">
        <f t="shared" si="1"/>
        <v>0</v>
      </c>
      <c r="G26" s="18">
        <v>0</v>
      </c>
      <c r="H26" s="18">
        <f t="shared" si="6"/>
        <v>0</v>
      </c>
      <c r="I26" s="18">
        <v>0</v>
      </c>
      <c r="J26" s="18">
        <f t="shared" si="2"/>
        <v>30000</v>
      </c>
      <c r="K26" s="18">
        <v>1</v>
      </c>
      <c r="L26" s="18">
        <f t="shared" si="3"/>
        <v>50000</v>
      </c>
      <c r="M26" s="18">
        <v>1</v>
      </c>
      <c r="N26" s="19">
        <f t="shared" si="4"/>
        <v>118000</v>
      </c>
    </row>
    <row r="27" spans="1:14" x14ac:dyDescent="0.45">
      <c r="A27" s="17">
        <f t="shared" si="5"/>
        <v>26</v>
      </c>
      <c r="B27" s="5" t="s">
        <v>93</v>
      </c>
      <c r="C27" s="18" t="s">
        <v>355</v>
      </c>
      <c r="D27" s="18">
        <f t="shared" si="0"/>
        <v>0</v>
      </c>
      <c r="E27" s="18">
        <v>0</v>
      </c>
      <c r="F27" s="18">
        <f t="shared" si="1"/>
        <v>0</v>
      </c>
      <c r="G27" s="18">
        <v>0</v>
      </c>
      <c r="H27" s="18">
        <f t="shared" si="6"/>
        <v>0</v>
      </c>
      <c r="I27" s="18">
        <v>0</v>
      </c>
      <c r="J27" s="18">
        <f t="shared" si="2"/>
        <v>30000</v>
      </c>
      <c r="K27" s="18">
        <v>1</v>
      </c>
      <c r="L27" s="18">
        <f t="shared" si="3"/>
        <v>0</v>
      </c>
      <c r="M27" s="18">
        <v>0</v>
      </c>
      <c r="N27" s="19">
        <f t="shared" si="4"/>
        <v>170000</v>
      </c>
    </row>
    <row r="28" spans="1:14" x14ac:dyDescent="0.45">
      <c r="A28" s="17">
        <f t="shared" si="5"/>
        <v>27</v>
      </c>
      <c r="B28" s="5" t="s">
        <v>94</v>
      </c>
      <c r="C28" s="18" t="s">
        <v>355</v>
      </c>
      <c r="D28" s="18">
        <f t="shared" si="0"/>
        <v>2000</v>
      </c>
      <c r="E28" s="18">
        <v>1</v>
      </c>
      <c r="F28" s="18">
        <f t="shared" si="1"/>
        <v>0</v>
      </c>
      <c r="G28" s="18">
        <v>0</v>
      </c>
      <c r="H28" s="18">
        <f t="shared" si="6"/>
        <v>0</v>
      </c>
      <c r="I28" s="18">
        <v>0</v>
      </c>
      <c r="J28" s="18">
        <f t="shared" si="2"/>
        <v>30000</v>
      </c>
      <c r="K28" s="18">
        <v>1</v>
      </c>
      <c r="L28" s="18">
        <f t="shared" si="3"/>
        <v>50000</v>
      </c>
      <c r="M28" s="18">
        <v>1</v>
      </c>
      <c r="N28" s="19">
        <f t="shared" si="4"/>
        <v>118000</v>
      </c>
    </row>
    <row r="29" spans="1:14" x14ac:dyDescent="0.45">
      <c r="A29" s="17">
        <f t="shared" si="5"/>
        <v>28</v>
      </c>
      <c r="B29" s="5" t="s">
        <v>95</v>
      </c>
      <c r="C29" s="18" t="s">
        <v>355</v>
      </c>
      <c r="D29" s="18">
        <f t="shared" si="0"/>
        <v>2000</v>
      </c>
      <c r="E29" s="18">
        <v>1</v>
      </c>
      <c r="F29" s="18">
        <f t="shared" si="1"/>
        <v>0</v>
      </c>
      <c r="G29" s="18">
        <v>0</v>
      </c>
      <c r="H29" s="18">
        <f t="shared" si="6"/>
        <v>0</v>
      </c>
      <c r="I29" s="18">
        <v>0</v>
      </c>
      <c r="J29" s="18">
        <f t="shared" si="2"/>
        <v>90000</v>
      </c>
      <c r="K29" s="18">
        <v>3</v>
      </c>
      <c r="L29" s="18">
        <f t="shared" si="3"/>
        <v>50000</v>
      </c>
      <c r="M29" s="18">
        <v>1</v>
      </c>
      <c r="N29" s="19">
        <f t="shared" si="4"/>
        <v>58000</v>
      </c>
    </row>
    <row r="30" spans="1:14" x14ac:dyDescent="0.45">
      <c r="A30" s="17">
        <f t="shared" si="5"/>
        <v>29</v>
      </c>
      <c r="B30" s="5" t="s">
        <v>96</v>
      </c>
      <c r="C30" s="18" t="s">
        <v>355</v>
      </c>
      <c r="D30" s="18">
        <f t="shared" si="0"/>
        <v>0</v>
      </c>
      <c r="E30" s="18">
        <v>0</v>
      </c>
      <c r="F30" s="18">
        <f t="shared" si="1"/>
        <v>0</v>
      </c>
      <c r="G30" s="18">
        <v>0</v>
      </c>
      <c r="H30" s="18">
        <f t="shared" si="6"/>
        <v>0</v>
      </c>
      <c r="I30" s="18">
        <v>0</v>
      </c>
      <c r="J30" s="18">
        <f t="shared" si="2"/>
        <v>30000</v>
      </c>
      <c r="K30" s="18">
        <v>1</v>
      </c>
      <c r="L30" s="18">
        <f t="shared" si="3"/>
        <v>50000</v>
      </c>
      <c r="M30" s="18">
        <v>1</v>
      </c>
      <c r="N30" s="19">
        <f t="shared" si="4"/>
        <v>120000</v>
      </c>
    </row>
    <row r="31" spans="1:14" x14ac:dyDescent="0.45">
      <c r="A31" s="17">
        <f t="shared" si="5"/>
        <v>30</v>
      </c>
      <c r="B31" s="5" t="s">
        <v>97</v>
      </c>
      <c r="C31" s="18" t="s">
        <v>355</v>
      </c>
      <c r="D31" s="18">
        <f t="shared" si="0"/>
        <v>0</v>
      </c>
      <c r="E31" s="18">
        <v>0</v>
      </c>
      <c r="F31" s="18">
        <f t="shared" si="1"/>
        <v>0</v>
      </c>
      <c r="G31" s="18">
        <v>0</v>
      </c>
      <c r="H31" s="18">
        <f t="shared" si="6"/>
        <v>0</v>
      </c>
      <c r="I31" s="18">
        <v>0</v>
      </c>
      <c r="J31" s="18">
        <f t="shared" si="2"/>
        <v>60000</v>
      </c>
      <c r="K31" s="18">
        <v>2</v>
      </c>
      <c r="L31" s="18">
        <f t="shared" si="3"/>
        <v>50000</v>
      </c>
      <c r="M31" s="18">
        <v>1</v>
      </c>
      <c r="N31" s="19">
        <f t="shared" si="4"/>
        <v>90000</v>
      </c>
    </row>
    <row r="32" spans="1:14" x14ac:dyDescent="0.45">
      <c r="A32" s="17">
        <f t="shared" si="5"/>
        <v>31</v>
      </c>
      <c r="B32" s="5" t="s">
        <v>98</v>
      </c>
      <c r="C32" s="18" t="s">
        <v>355</v>
      </c>
      <c r="D32" s="18">
        <f t="shared" si="0"/>
        <v>0</v>
      </c>
      <c r="E32" s="18">
        <v>0</v>
      </c>
      <c r="F32" s="18">
        <f t="shared" si="1"/>
        <v>0</v>
      </c>
      <c r="G32" s="18">
        <v>0</v>
      </c>
      <c r="H32" s="18">
        <f t="shared" si="6"/>
        <v>0</v>
      </c>
      <c r="I32" s="18">
        <v>0</v>
      </c>
      <c r="J32" s="18">
        <f t="shared" si="2"/>
        <v>90000</v>
      </c>
      <c r="K32" s="5">
        <v>3</v>
      </c>
      <c r="L32" s="18">
        <f t="shared" si="3"/>
        <v>50000</v>
      </c>
      <c r="M32" s="5">
        <v>1</v>
      </c>
      <c r="N32" s="19">
        <f t="shared" si="4"/>
        <v>60000</v>
      </c>
    </row>
    <row r="33" spans="1:14" x14ac:dyDescent="0.45">
      <c r="A33" s="17">
        <f t="shared" si="5"/>
        <v>32</v>
      </c>
      <c r="B33" s="5" t="s">
        <v>99</v>
      </c>
      <c r="C33" s="18" t="s">
        <v>355</v>
      </c>
      <c r="D33" s="18">
        <f t="shared" si="0"/>
        <v>0</v>
      </c>
      <c r="E33" s="18">
        <v>0</v>
      </c>
      <c r="F33" s="18">
        <f t="shared" si="1"/>
        <v>0</v>
      </c>
      <c r="G33" s="18">
        <v>0</v>
      </c>
      <c r="H33" s="18">
        <f t="shared" si="6"/>
        <v>0</v>
      </c>
      <c r="I33" s="18">
        <v>0</v>
      </c>
      <c r="J33" s="18">
        <f t="shared" si="2"/>
        <v>90000</v>
      </c>
      <c r="K33" s="5">
        <v>3</v>
      </c>
      <c r="L33" s="18">
        <f t="shared" si="3"/>
        <v>100000</v>
      </c>
      <c r="M33" s="5">
        <v>2</v>
      </c>
      <c r="N33" s="19">
        <f t="shared" si="4"/>
        <v>10000</v>
      </c>
    </row>
    <row r="34" spans="1:14" x14ac:dyDescent="0.45">
      <c r="A34" s="17">
        <f t="shared" si="5"/>
        <v>33</v>
      </c>
      <c r="B34" s="5" t="s">
        <v>100</v>
      </c>
      <c r="C34" s="18" t="s">
        <v>355</v>
      </c>
      <c r="D34" s="18">
        <f t="shared" ref="D34:D65" si="7">E34*2000</f>
        <v>0</v>
      </c>
      <c r="E34" s="18">
        <v>0</v>
      </c>
      <c r="F34" s="18">
        <f t="shared" ref="F34:F65" si="8">G34*20000</f>
        <v>0</v>
      </c>
      <c r="G34" s="18">
        <v>0</v>
      </c>
      <c r="H34" s="18">
        <f t="shared" ref="H34:H65" si="9">I34*30000</f>
        <v>0</v>
      </c>
      <c r="I34" s="18">
        <v>0</v>
      </c>
      <c r="J34" s="18">
        <f t="shared" si="2"/>
        <v>60000</v>
      </c>
      <c r="K34" s="5">
        <v>2</v>
      </c>
      <c r="L34" s="18">
        <f t="shared" si="3"/>
        <v>50000</v>
      </c>
      <c r="M34" s="5">
        <v>1</v>
      </c>
      <c r="N34" s="19">
        <f t="shared" si="4"/>
        <v>90000</v>
      </c>
    </row>
    <row r="35" spans="1:14" x14ac:dyDescent="0.45">
      <c r="A35" s="17">
        <f t="shared" si="5"/>
        <v>34</v>
      </c>
      <c r="B35" s="5" t="s">
        <v>101</v>
      </c>
      <c r="C35" s="18" t="s">
        <v>355</v>
      </c>
      <c r="D35" s="18">
        <f t="shared" si="7"/>
        <v>0</v>
      </c>
      <c r="E35" s="18">
        <v>0</v>
      </c>
      <c r="F35" s="18">
        <f t="shared" si="8"/>
        <v>0</v>
      </c>
      <c r="G35" s="18">
        <v>0</v>
      </c>
      <c r="H35" s="18">
        <f t="shared" si="9"/>
        <v>0</v>
      </c>
      <c r="I35" s="18">
        <v>0</v>
      </c>
      <c r="J35" s="18">
        <f t="shared" si="2"/>
        <v>90000</v>
      </c>
      <c r="K35" s="5">
        <v>3</v>
      </c>
      <c r="L35" s="18">
        <f t="shared" si="3"/>
        <v>50000</v>
      </c>
      <c r="M35" s="5">
        <v>1</v>
      </c>
      <c r="N35" s="19">
        <f t="shared" si="4"/>
        <v>60000</v>
      </c>
    </row>
    <row r="36" spans="1:14" x14ac:dyDescent="0.45">
      <c r="A36" s="17">
        <f t="shared" si="5"/>
        <v>35</v>
      </c>
      <c r="B36" s="5" t="s">
        <v>102</v>
      </c>
      <c r="C36" s="18" t="s">
        <v>355</v>
      </c>
      <c r="D36" s="18">
        <f t="shared" si="7"/>
        <v>0</v>
      </c>
      <c r="E36" s="18">
        <v>0</v>
      </c>
      <c r="F36" s="18">
        <f t="shared" si="8"/>
        <v>0</v>
      </c>
      <c r="G36" s="18">
        <v>0</v>
      </c>
      <c r="H36" s="18">
        <f t="shared" si="9"/>
        <v>0</v>
      </c>
      <c r="I36" s="18">
        <v>0</v>
      </c>
      <c r="J36" s="18">
        <f t="shared" si="2"/>
        <v>30000</v>
      </c>
      <c r="K36" s="5">
        <v>1</v>
      </c>
      <c r="L36" s="18">
        <f t="shared" si="3"/>
        <v>0</v>
      </c>
      <c r="M36" s="5">
        <v>0</v>
      </c>
      <c r="N36" s="19">
        <f t="shared" si="4"/>
        <v>170000</v>
      </c>
    </row>
    <row r="37" spans="1:14" x14ac:dyDescent="0.45">
      <c r="A37" s="17">
        <f t="shared" si="5"/>
        <v>36</v>
      </c>
      <c r="B37" s="5" t="s">
        <v>103</v>
      </c>
      <c r="C37" s="18" t="s">
        <v>355</v>
      </c>
      <c r="D37" s="18">
        <f t="shared" si="7"/>
        <v>0</v>
      </c>
      <c r="E37" s="18">
        <v>0</v>
      </c>
      <c r="F37" s="18">
        <f t="shared" si="8"/>
        <v>0</v>
      </c>
      <c r="G37" s="18">
        <v>0</v>
      </c>
      <c r="H37" s="18">
        <f t="shared" si="9"/>
        <v>0</v>
      </c>
      <c r="I37" s="18">
        <v>0</v>
      </c>
      <c r="J37" s="18">
        <f t="shared" si="2"/>
        <v>30000</v>
      </c>
      <c r="K37" s="18">
        <v>1</v>
      </c>
      <c r="L37" s="18">
        <f t="shared" si="3"/>
        <v>50000</v>
      </c>
      <c r="M37" s="18">
        <v>1</v>
      </c>
      <c r="N37" s="19">
        <f t="shared" si="4"/>
        <v>120000</v>
      </c>
    </row>
    <row r="38" spans="1:14" x14ac:dyDescent="0.45">
      <c r="A38" s="17">
        <f t="shared" si="5"/>
        <v>37</v>
      </c>
      <c r="B38" s="5" t="s">
        <v>104</v>
      </c>
      <c r="C38" s="18" t="s">
        <v>355</v>
      </c>
      <c r="D38" s="18">
        <f t="shared" si="7"/>
        <v>0</v>
      </c>
      <c r="E38" s="18">
        <v>0</v>
      </c>
      <c r="F38" s="18">
        <f t="shared" si="8"/>
        <v>0</v>
      </c>
      <c r="G38" s="18">
        <v>0</v>
      </c>
      <c r="H38" s="18">
        <f t="shared" si="9"/>
        <v>0</v>
      </c>
      <c r="I38" s="18">
        <v>0</v>
      </c>
      <c r="J38" s="18">
        <f t="shared" si="2"/>
        <v>60000</v>
      </c>
      <c r="K38" s="18">
        <v>2</v>
      </c>
      <c r="L38" s="18">
        <f t="shared" si="3"/>
        <v>100000</v>
      </c>
      <c r="M38" s="18">
        <v>2</v>
      </c>
      <c r="N38" s="19">
        <f t="shared" si="4"/>
        <v>40000</v>
      </c>
    </row>
    <row r="39" spans="1:14" x14ac:dyDescent="0.45">
      <c r="A39" s="17">
        <f t="shared" si="5"/>
        <v>38</v>
      </c>
      <c r="B39" s="5" t="s">
        <v>105</v>
      </c>
      <c r="C39" s="18" t="s">
        <v>355</v>
      </c>
      <c r="D39" s="18">
        <f t="shared" si="7"/>
        <v>0</v>
      </c>
      <c r="E39" s="18">
        <v>0</v>
      </c>
      <c r="F39" s="18">
        <f t="shared" si="8"/>
        <v>20000</v>
      </c>
      <c r="G39" s="18">
        <v>1</v>
      </c>
      <c r="H39" s="18">
        <f t="shared" si="9"/>
        <v>0</v>
      </c>
      <c r="I39" s="18">
        <v>0</v>
      </c>
      <c r="J39" s="18">
        <f t="shared" si="2"/>
        <v>30000</v>
      </c>
      <c r="K39" s="18">
        <v>1</v>
      </c>
      <c r="L39" s="18">
        <f t="shared" si="3"/>
        <v>0</v>
      </c>
      <c r="M39" s="18">
        <v>0</v>
      </c>
      <c r="N39" s="19">
        <f t="shared" si="4"/>
        <v>150000</v>
      </c>
    </row>
    <row r="40" spans="1:14" x14ac:dyDescent="0.45">
      <c r="A40" s="17">
        <f t="shared" si="5"/>
        <v>39</v>
      </c>
      <c r="B40" s="5" t="s">
        <v>106</v>
      </c>
      <c r="C40" s="18" t="s">
        <v>355</v>
      </c>
      <c r="D40" s="18">
        <f t="shared" si="7"/>
        <v>0</v>
      </c>
      <c r="E40" s="18">
        <v>0</v>
      </c>
      <c r="F40" s="18">
        <f t="shared" si="8"/>
        <v>0</v>
      </c>
      <c r="G40" s="18">
        <v>0</v>
      </c>
      <c r="H40" s="18">
        <f t="shared" si="9"/>
        <v>0</v>
      </c>
      <c r="I40" s="18">
        <v>0</v>
      </c>
      <c r="J40" s="18">
        <f t="shared" si="2"/>
        <v>60000</v>
      </c>
      <c r="K40" s="18">
        <v>2</v>
      </c>
      <c r="L40" s="18">
        <f t="shared" si="3"/>
        <v>150000</v>
      </c>
      <c r="M40" s="18">
        <v>3</v>
      </c>
      <c r="N40" s="19">
        <f t="shared" si="4"/>
        <v>-10000</v>
      </c>
    </row>
    <row r="41" spans="1:14" x14ac:dyDescent="0.45">
      <c r="A41" s="17">
        <f t="shared" si="5"/>
        <v>40</v>
      </c>
      <c r="B41" s="5" t="s">
        <v>107</v>
      </c>
      <c r="C41" s="18" t="s">
        <v>355</v>
      </c>
      <c r="D41" s="18">
        <f t="shared" si="7"/>
        <v>2000</v>
      </c>
      <c r="E41" s="18">
        <v>1</v>
      </c>
      <c r="F41" s="18">
        <f t="shared" si="8"/>
        <v>20000</v>
      </c>
      <c r="G41" s="18">
        <v>1</v>
      </c>
      <c r="H41" s="18">
        <f t="shared" si="9"/>
        <v>0</v>
      </c>
      <c r="I41" s="18">
        <v>0</v>
      </c>
      <c r="J41" s="18">
        <f t="shared" si="2"/>
        <v>60000</v>
      </c>
      <c r="K41" s="18">
        <v>2</v>
      </c>
      <c r="L41" s="18">
        <f t="shared" si="3"/>
        <v>100000</v>
      </c>
      <c r="M41" s="18">
        <v>2</v>
      </c>
      <c r="N41" s="19">
        <f t="shared" si="4"/>
        <v>18000</v>
      </c>
    </row>
    <row r="42" spans="1:14" x14ac:dyDescent="0.45">
      <c r="A42" s="17">
        <f t="shared" si="5"/>
        <v>41</v>
      </c>
      <c r="B42" s="5" t="s">
        <v>108</v>
      </c>
      <c r="C42" s="18" t="s">
        <v>355</v>
      </c>
      <c r="D42" s="18">
        <f t="shared" si="7"/>
        <v>0</v>
      </c>
      <c r="E42" s="18">
        <v>0</v>
      </c>
      <c r="F42" s="18">
        <f t="shared" si="8"/>
        <v>0</v>
      </c>
      <c r="G42" s="18">
        <v>0</v>
      </c>
      <c r="H42" s="18">
        <f t="shared" si="9"/>
        <v>0</v>
      </c>
      <c r="I42" s="18">
        <v>0</v>
      </c>
      <c r="J42" s="18">
        <f t="shared" si="2"/>
        <v>90000</v>
      </c>
      <c r="K42" s="18">
        <v>3</v>
      </c>
      <c r="L42" s="18">
        <f t="shared" si="3"/>
        <v>100000</v>
      </c>
      <c r="M42" s="18">
        <v>2</v>
      </c>
      <c r="N42" s="19">
        <f t="shared" si="4"/>
        <v>10000</v>
      </c>
    </row>
    <row r="43" spans="1:14" x14ac:dyDescent="0.45">
      <c r="A43" s="17">
        <f t="shared" si="5"/>
        <v>42</v>
      </c>
      <c r="B43" s="5" t="s">
        <v>109</v>
      </c>
      <c r="C43" s="18" t="s">
        <v>355</v>
      </c>
      <c r="D43" s="18">
        <f t="shared" si="7"/>
        <v>4000</v>
      </c>
      <c r="E43" s="18">
        <v>2</v>
      </c>
      <c r="F43" s="18">
        <f t="shared" si="8"/>
        <v>0</v>
      </c>
      <c r="G43" s="18">
        <v>0</v>
      </c>
      <c r="H43" s="18">
        <f t="shared" si="9"/>
        <v>0</v>
      </c>
      <c r="I43" s="18">
        <v>0</v>
      </c>
      <c r="J43" s="18">
        <f t="shared" si="2"/>
        <v>810000</v>
      </c>
      <c r="K43" s="18">
        <v>27</v>
      </c>
      <c r="L43" s="18">
        <f t="shared" si="3"/>
        <v>650000</v>
      </c>
      <c r="M43" s="18">
        <v>13</v>
      </c>
      <c r="N43" s="19">
        <f t="shared" si="4"/>
        <v>-1264000</v>
      </c>
    </row>
    <row r="44" spans="1:14" x14ac:dyDescent="0.45">
      <c r="A44" s="17">
        <f t="shared" si="5"/>
        <v>43</v>
      </c>
      <c r="B44" s="5" t="s">
        <v>110</v>
      </c>
      <c r="C44" s="18" t="s">
        <v>355</v>
      </c>
      <c r="D44" s="18">
        <f t="shared" si="7"/>
        <v>0</v>
      </c>
      <c r="E44" s="18">
        <v>0</v>
      </c>
      <c r="F44" s="18">
        <f t="shared" si="8"/>
        <v>20000</v>
      </c>
      <c r="G44" s="18">
        <v>1</v>
      </c>
      <c r="H44" s="18">
        <f t="shared" si="9"/>
        <v>0</v>
      </c>
      <c r="I44" s="18">
        <v>0</v>
      </c>
      <c r="J44" s="18">
        <f t="shared" si="2"/>
        <v>0</v>
      </c>
      <c r="K44" s="18">
        <v>0</v>
      </c>
      <c r="L44" s="18">
        <f t="shared" si="3"/>
        <v>100000</v>
      </c>
      <c r="M44" s="18">
        <v>2</v>
      </c>
      <c r="N44" s="19">
        <f t="shared" si="4"/>
        <v>80000</v>
      </c>
    </row>
    <row r="45" spans="1:14" x14ac:dyDescent="0.45">
      <c r="A45" s="17">
        <f t="shared" si="5"/>
        <v>44</v>
      </c>
      <c r="B45" s="5" t="s">
        <v>111</v>
      </c>
      <c r="C45" s="18" t="s">
        <v>355</v>
      </c>
      <c r="D45" s="18">
        <f t="shared" si="7"/>
        <v>0</v>
      </c>
      <c r="E45" s="18">
        <v>0</v>
      </c>
      <c r="F45" s="18">
        <f t="shared" si="8"/>
        <v>0</v>
      </c>
      <c r="G45" s="18">
        <v>0</v>
      </c>
      <c r="H45" s="18">
        <f t="shared" si="9"/>
        <v>0</v>
      </c>
      <c r="I45" s="18">
        <v>0</v>
      </c>
      <c r="J45" s="18">
        <f t="shared" si="2"/>
        <v>0</v>
      </c>
      <c r="K45" s="18">
        <v>0</v>
      </c>
      <c r="L45" s="18">
        <f t="shared" si="3"/>
        <v>0</v>
      </c>
      <c r="M45" s="18">
        <v>0</v>
      </c>
      <c r="N45" s="19">
        <f t="shared" si="4"/>
        <v>200000</v>
      </c>
    </row>
    <row r="46" spans="1:14" x14ac:dyDescent="0.45">
      <c r="A46" s="17">
        <f t="shared" si="5"/>
        <v>45</v>
      </c>
      <c r="B46" s="5" t="s">
        <v>112</v>
      </c>
      <c r="C46" s="18" t="s">
        <v>355</v>
      </c>
      <c r="D46" s="18">
        <f t="shared" si="7"/>
        <v>0</v>
      </c>
      <c r="E46" s="18">
        <v>0</v>
      </c>
      <c r="F46" s="18">
        <f t="shared" si="8"/>
        <v>0</v>
      </c>
      <c r="G46" s="18">
        <v>0</v>
      </c>
      <c r="H46" s="18">
        <f t="shared" si="9"/>
        <v>0</v>
      </c>
      <c r="I46" s="18">
        <v>0</v>
      </c>
      <c r="J46" s="18">
        <f t="shared" si="2"/>
        <v>30000</v>
      </c>
      <c r="K46" s="18">
        <v>1</v>
      </c>
      <c r="L46" s="18">
        <f t="shared" si="3"/>
        <v>0</v>
      </c>
      <c r="M46" s="18">
        <v>0</v>
      </c>
      <c r="N46" s="19">
        <f t="shared" si="4"/>
        <v>170000</v>
      </c>
    </row>
    <row r="47" spans="1:14" x14ac:dyDescent="0.45">
      <c r="A47" s="17">
        <f t="shared" si="5"/>
        <v>46</v>
      </c>
      <c r="B47" s="5" t="s">
        <v>113</v>
      </c>
      <c r="C47" s="18" t="s">
        <v>355</v>
      </c>
      <c r="D47" s="18">
        <f t="shared" si="7"/>
        <v>0</v>
      </c>
      <c r="E47" s="18">
        <v>0</v>
      </c>
      <c r="F47" s="18">
        <f t="shared" si="8"/>
        <v>0</v>
      </c>
      <c r="G47" s="18">
        <v>0</v>
      </c>
      <c r="H47" s="18">
        <f t="shared" si="9"/>
        <v>0</v>
      </c>
      <c r="I47" s="18">
        <v>0</v>
      </c>
      <c r="J47" s="18">
        <f t="shared" si="2"/>
        <v>60000</v>
      </c>
      <c r="K47" s="5">
        <v>2</v>
      </c>
      <c r="L47" s="18">
        <f t="shared" si="3"/>
        <v>150000</v>
      </c>
      <c r="M47" s="5">
        <v>3</v>
      </c>
      <c r="N47" s="19">
        <f t="shared" si="4"/>
        <v>-10000</v>
      </c>
    </row>
    <row r="48" spans="1:14" x14ac:dyDescent="0.45">
      <c r="A48" s="17">
        <f t="shared" si="5"/>
        <v>47</v>
      </c>
      <c r="B48" s="5" t="s">
        <v>114</v>
      </c>
      <c r="C48" s="18" t="s">
        <v>355</v>
      </c>
      <c r="D48" s="18">
        <f t="shared" si="7"/>
        <v>0</v>
      </c>
      <c r="E48" s="18">
        <v>0</v>
      </c>
      <c r="F48" s="18">
        <f t="shared" si="8"/>
        <v>0</v>
      </c>
      <c r="G48" s="18">
        <v>0</v>
      </c>
      <c r="H48" s="18">
        <f t="shared" si="9"/>
        <v>0</v>
      </c>
      <c r="I48" s="18">
        <v>0</v>
      </c>
      <c r="J48" s="18">
        <f t="shared" si="2"/>
        <v>0</v>
      </c>
      <c r="K48" s="5">
        <v>0</v>
      </c>
      <c r="L48" s="18">
        <f t="shared" si="3"/>
        <v>0</v>
      </c>
      <c r="M48" s="5">
        <v>0</v>
      </c>
      <c r="N48" s="19">
        <f t="shared" si="4"/>
        <v>200000</v>
      </c>
    </row>
    <row r="49" spans="1:14" x14ac:dyDescent="0.45">
      <c r="A49" s="17">
        <f t="shared" si="5"/>
        <v>48</v>
      </c>
      <c r="B49" s="5" t="s">
        <v>115</v>
      </c>
      <c r="C49" s="18" t="s">
        <v>355</v>
      </c>
      <c r="D49" s="18">
        <f t="shared" si="7"/>
        <v>0</v>
      </c>
      <c r="E49" s="18">
        <v>0</v>
      </c>
      <c r="F49" s="18">
        <f t="shared" si="8"/>
        <v>0</v>
      </c>
      <c r="G49" s="18">
        <v>0</v>
      </c>
      <c r="H49" s="18">
        <f t="shared" si="9"/>
        <v>0</v>
      </c>
      <c r="I49" s="18">
        <v>0</v>
      </c>
      <c r="J49" s="18">
        <f t="shared" si="2"/>
        <v>30000</v>
      </c>
      <c r="K49" s="5">
        <v>1</v>
      </c>
      <c r="L49" s="18">
        <f t="shared" si="3"/>
        <v>0</v>
      </c>
      <c r="M49" s="5">
        <v>0</v>
      </c>
      <c r="N49" s="19">
        <f t="shared" si="4"/>
        <v>170000</v>
      </c>
    </row>
    <row r="50" spans="1:14" x14ac:dyDescent="0.45">
      <c r="A50" s="17">
        <f t="shared" si="5"/>
        <v>49</v>
      </c>
      <c r="B50" s="5" t="s">
        <v>116</v>
      </c>
      <c r="C50" s="18" t="s">
        <v>355</v>
      </c>
      <c r="D50" s="18">
        <f t="shared" si="7"/>
        <v>2000</v>
      </c>
      <c r="E50" s="18">
        <v>1</v>
      </c>
      <c r="F50" s="18">
        <f t="shared" si="8"/>
        <v>0</v>
      </c>
      <c r="G50" s="18">
        <v>0</v>
      </c>
      <c r="H50" s="18">
        <f t="shared" si="9"/>
        <v>0</v>
      </c>
      <c r="I50" s="18">
        <v>0</v>
      </c>
      <c r="J50" s="18">
        <f t="shared" si="2"/>
        <v>60000</v>
      </c>
      <c r="K50" s="5">
        <v>2</v>
      </c>
      <c r="L50" s="18">
        <f t="shared" si="3"/>
        <v>100000</v>
      </c>
      <c r="M50" s="5">
        <v>2</v>
      </c>
      <c r="N50" s="19">
        <f t="shared" si="4"/>
        <v>38000</v>
      </c>
    </row>
    <row r="51" spans="1:14" x14ac:dyDescent="0.45">
      <c r="A51" s="17">
        <f t="shared" si="5"/>
        <v>50</v>
      </c>
      <c r="B51" s="5" t="s">
        <v>117</v>
      </c>
      <c r="C51" s="18" t="s">
        <v>355</v>
      </c>
      <c r="D51" s="18">
        <f t="shared" si="7"/>
        <v>4000</v>
      </c>
      <c r="E51" s="18">
        <v>2</v>
      </c>
      <c r="F51" s="18">
        <f t="shared" si="8"/>
        <v>0</v>
      </c>
      <c r="G51" s="18">
        <v>0</v>
      </c>
      <c r="H51" s="18">
        <f t="shared" si="9"/>
        <v>0</v>
      </c>
      <c r="I51" s="18">
        <v>0</v>
      </c>
      <c r="J51" s="18">
        <f t="shared" si="2"/>
        <v>60000</v>
      </c>
      <c r="K51" s="5">
        <v>2</v>
      </c>
      <c r="L51" s="18">
        <f t="shared" si="3"/>
        <v>100000</v>
      </c>
      <c r="M51" s="5">
        <v>2</v>
      </c>
      <c r="N51" s="19">
        <f t="shared" si="4"/>
        <v>36000</v>
      </c>
    </row>
    <row r="52" spans="1:14" x14ac:dyDescent="0.45">
      <c r="A52" s="17">
        <f t="shared" si="5"/>
        <v>51</v>
      </c>
      <c r="B52" s="5" t="s">
        <v>118</v>
      </c>
      <c r="C52" s="18" t="s">
        <v>355</v>
      </c>
      <c r="D52" s="18">
        <f t="shared" si="7"/>
        <v>2000</v>
      </c>
      <c r="E52" s="18">
        <v>1</v>
      </c>
      <c r="F52" s="18">
        <f t="shared" si="8"/>
        <v>0</v>
      </c>
      <c r="G52" s="18">
        <v>0</v>
      </c>
      <c r="H52" s="18">
        <f t="shared" si="9"/>
        <v>0</v>
      </c>
      <c r="I52" s="18">
        <v>0</v>
      </c>
      <c r="J52" s="18">
        <f t="shared" si="2"/>
        <v>30000</v>
      </c>
      <c r="K52" s="5">
        <v>1</v>
      </c>
      <c r="L52" s="18">
        <f t="shared" si="3"/>
        <v>200000</v>
      </c>
      <c r="M52" s="5">
        <v>4</v>
      </c>
      <c r="N52" s="19">
        <f t="shared" si="4"/>
        <v>-32000</v>
      </c>
    </row>
    <row r="53" spans="1:14" x14ac:dyDescent="0.45">
      <c r="A53" s="17">
        <f t="shared" si="5"/>
        <v>52</v>
      </c>
      <c r="B53" s="5" t="s">
        <v>119</v>
      </c>
      <c r="C53" s="18" t="s">
        <v>355</v>
      </c>
      <c r="D53" s="18">
        <f t="shared" si="7"/>
        <v>2000</v>
      </c>
      <c r="E53" s="18">
        <v>1</v>
      </c>
      <c r="F53" s="18">
        <f t="shared" si="8"/>
        <v>0</v>
      </c>
      <c r="G53" s="18">
        <v>0</v>
      </c>
      <c r="H53" s="18">
        <f t="shared" si="9"/>
        <v>0</v>
      </c>
      <c r="I53" s="18">
        <v>0</v>
      </c>
      <c r="J53" s="18">
        <f t="shared" si="2"/>
        <v>0</v>
      </c>
      <c r="K53" s="5">
        <v>0</v>
      </c>
      <c r="L53" s="18">
        <f t="shared" si="3"/>
        <v>0</v>
      </c>
      <c r="M53" s="5">
        <v>0</v>
      </c>
      <c r="N53" s="19">
        <f t="shared" si="4"/>
        <v>198000</v>
      </c>
    </row>
    <row r="54" spans="1:14" x14ac:dyDescent="0.45">
      <c r="A54" s="17">
        <f t="shared" si="5"/>
        <v>53</v>
      </c>
      <c r="B54" s="5" t="s">
        <v>120</v>
      </c>
      <c r="C54" s="18" t="s">
        <v>355</v>
      </c>
      <c r="D54" s="18">
        <f t="shared" si="7"/>
        <v>0</v>
      </c>
      <c r="E54" s="18">
        <v>0</v>
      </c>
      <c r="F54" s="18">
        <f t="shared" si="8"/>
        <v>20000</v>
      </c>
      <c r="G54" s="18">
        <v>1</v>
      </c>
      <c r="H54" s="18">
        <f t="shared" si="9"/>
        <v>0</v>
      </c>
      <c r="I54" s="18">
        <v>0</v>
      </c>
      <c r="J54" s="18">
        <f t="shared" si="2"/>
        <v>300000</v>
      </c>
      <c r="K54" s="5">
        <v>10</v>
      </c>
      <c r="L54" s="18">
        <f t="shared" si="3"/>
        <v>200000</v>
      </c>
      <c r="M54" s="5">
        <v>4</v>
      </c>
      <c r="N54" s="19">
        <f t="shared" si="4"/>
        <v>-320000</v>
      </c>
    </row>
    <row r="55" spans="1:14" x14ac:dyDescent="0.45">
      <c r="A55" s="17">
        <f t="shared" si="5"/>
        <v>54</v>
      </c>
      <c r="B55" s="5" t="s">
        <v>121</v>
      </c>
      <c r="C55" s="18" t="s">
        <v>355</v>
      </c>
      <c r="D55" s="18">
        <f t="shared" si="7"/>
        <v>0</v>
      </c>
      <c r="E55" s="18">
        <v>0</v>
      </c>
      <c r="F55" s="18">
        <f t="shared" si="8"/>
        <v>0</v>
      </c>
      <c r="G55" s="18">
        <v>0</v>
      </c>
      <c r="H55" s="18">
        <f t="shared" si="9"/>
        <v>0</v>
      </c>
      <c r="I55" s="18">
        <v>0</v>
      </c>
      <c r="J55" s="18">
        <f t="shared" si="2"/>
        <v>0</v>
      </c>
      <c r="K55" s="5">
        <v>0</v>
      </c>
      <c r="L55" s="18">
        <f t="shared" si="3"/>
        <v>0</v>
      </c>
      <c r="M55" s="5">
        <v>0</v>
      </c>
      <c r="N55" s="19">
        <f t="shared" si="4"/>
        <v>200000</v>
      </c>
    </row>
    <row r="56" spans="1:14" x14ac:dyDescent="0.45">
      <c r="A56" s="17">
        <f t="shared" si="5"/>
        <v>55</v>
      </c>
      <c r="B56" s="5" t="s">
        <v>122</v>
      </c>
      <c r="C56" s="18" t="s">
        <v>355</v>
      </c>
      <c r="D56" s="18">
        <f t="shared" si="7"/>
        <v>0</v>
      </c>
      <c r="E56" s="18">
        <v>0</v>
      </c>
      <c r="F56" s="18">
        <f t="shared" si="8"/>
        <v>0</v>
      </c>
      <c r="G56" s="18">
        <v>0</v>
      </c>
      <c r="H56" s="18">
        <f t="shared" si="9"/>
        <v>0</v>
      </c>
      <c r="I56" s="18">
        <v>0</v>
      </c>
      <c r="J56" s="18">
        <f t="shared" si="2"/>
        <v>150000</v>
      </c>
      <c r="K56" s="18">
        <v>5</v>
      </c>
      <c r="L56" s="18">
        <f t="shared" si="3"/>
        <v>0</v>
      </c>
      <c r="M56" s="18">
        <v>0</v>
      </c>
      <c r="N56" s="19">
        <f t="shared" si="4"/>
        <v>50000</v>
      </c>
    </row>
    <row r="57" spans="1:14" x14ac:dyDescent="0.45">
      <c r="A57" s="17">
        <f t="shared" si="5"/>
        <v>56</v>
      </c>
      <c r="B57" s="5" t="s">
        <v>123</v>
      </c>
      <c r="C57" s="18" t="s">
        <v>355</v>
      </c>
      <c r="D57" s="18">
        <f t="shared" si="7"/>
        <v>0</v>
      </c>
      <c r="E57" s="18">
        <v>0</v>
      </c>
      <c r="F57" s="18">
        <f t="shared" si="8"/>
        <v>0</v>
      </c>
      <c r="G57" s="18">
        <v>0</v>
      </c>
      <c r="H57" s="18">
        <f t="shared" si="9"/>
        <v>0</v>
      </c>
      <c r="I57" s="18">
        <v>0</v>
      </c>
      <c r="J57" s="18">
        <f t="shared" si="2"/>
        <v>480000</v>
      </c>
      <c r="K57" s="5">
        <v>16</v>
      </c>
      <c r="L57" s="18">
        <f t="shared" si="3"/>
        <v>200000</v>
      </c>
      <c r="M57" s="5">
        <v>4</v>
      </c>
      <c r="N57" s="19">
        <f t="shared" si="4"/>
        <v>-480000</v>
      </c>
    </row>
    <row r="58" spans="1:14" x14ac:dyDescent="0.45">
      <c r="A58" s="17">
        <f t="shared" si="5"/>
        <v>57</v>
      </c>
      <c r="B58" s="5" t="s">
        <v>124</v>
      </c>
      <c r="C58" s="18" t="s">
        <v>355</v>
      </c>
      <c r="D58" s="18">
        <f t="shared" si="7"/>
        <v>0</v>
      </c>
      <c r="E58" s="18">
        <v>0</v>
      </c>
      <c r="F58" s="18">
        <f t="shared" si="8"/>
        <v>0</v>
      </c>
      <c r="G58" s="18">
        <v>0</v>
      </c>
      <c r="H58" s="18">
        <f t="shared" si="9"/>
        <v>0</v>
      </c>
      <c r="I58" s="18">
        <v>0</v>
      </c>
      <c r="J58" s="18">
        <f t="shared" si="2"/>
        <v>30000</v>
      </c>
      <c r="K58" s="5">
        <v>1</v>
      </c>
      <c r="L58" s="18">
        <f t="shared" si="3"/>
        <v>50000</v>
      </c>
      <c r="M58" s="5">
        <v>1</v>
      </c>
      <c r="N58" s="19">
        <f t="shared" si="4"/>
        <v>120000</v>
      </c>
    </row>
    <row r="59" spans="1:14" x14ac:dyDescent="0.45">
      <c r="A59" s="17">
        <f t="shared" si="5"/>
        <v>58</v>
      </c>
      <c r="B59" s="5" t="s">
        <v>125</v>
      </c>
      <c r="C59" s="18" t="s">
        <v>355</v>
      </c>
      <c r="D59" s="18">
        <f t="shared" si="7"/>
        <v>0</v>
      </c>
      <c r="E59" s="18">
        <v>0</v>
      </c>
      <c r="F59" s="18">
        <f t="shared" si="8"/>
        <v>0</v>
      </c>
      <c r="G59" s="18">
        <v>0</v>
      </c>
      <c r="H59" s="18">
        <f t="shared" si="9"/>
        <v>0</v>
      </c>
      <c r="I59" s="18">
        <v>0</v>
      </c>
      <c r="J59" s="18">
        <f t="shared" si="2"/>
        <v>390000</v>
      </c>
      <c r="K59" s="5">
        <v>13</v>
      </c>
      <c r="L59" s="18">
        <f t="shared" si="3"/>
        <v>0</v>
      </c>
      <c r="M59" s="5">
        <v>0</v>
      </c>
      <c r="N59" s="19">
        <f t="shared" si="4"/>
        <v>-190000</v>
      </c>
    </row>
    <row r="60" spans="1:14" x14ac:dyDescent="0.45">
      <c r="A60" s="17">
        <f t="shared" si="5"/>
        <v>59</v>
      </c>
      <c r="B60" s="5" t="s">
        <v>126</v>
      </c>
      <c r="C60" s="18" t="s">
        <v>355</v>
      </c>
      <c r="D60" s="18">
        <f t="shared" si="7"/>
        <v>0</v>
      </c>
      <c r="E60" s="18">
        <v>0</v>
      </c>
      <c r="F60" s="18">
        <f t="shared" si="8"/>
        <v>0</v>
      </c>
      <c r="G60" s="18">
        <v>0</v>
      </c>
      <c r="H60" s="18">
        <f t="shared" si="9"/>
        <v>0</v>
      </c>
      <c r="I60" s="18">
        <v>0</v>
      </c>
      <c r="J60" s="18">
        <f t="shared" si="2"/>
        <v>540000</v>
      </c>
      <c r="K60" s="5">
        <v>18</v>
      </c>
      <c r="L60" s="18">
        <f t="shared" si="3"/>
        <v>0</v>
      </c>
      <c r="M60" s="5">
        <v>0</v>
      </c>
      <c r="N60" s="19">
        <f t="shared" si="4"/>
        <v>-340000</v>
      </c>
    </row>
    <row r="61" spans="1:14" x14ac:dyDescent="0.45">
      <c r="A61" s="17">
        <f t="shared" si="5"/>
        <v>60</v>
      </c>
      <c r="B61" s="5" t="s">
        <v>127</v>
      </c>
      <c r="C61" s="18" t="s">
        <v>355</v>
      </c>
      <c r="D61" s="18">
        <f t="shared" si="7"/>
        <v>0</v>
      </c>
      <c r="E61" s="18">
        <v>0</v>
      </c>
      <c r="F61" s="18">
        <f t="shared" si="8"/>
        <v>0</v>
      </c>
      <c r="G61" s="18">
        <v>0</v>
      </c>
      <c r="H61" s="18">
        <f t="shared" si="9"/>
        <v>0</v>
      </c>
      <c r="I61" s="18">
        <v>0</v>
      </c>
      <c r="J61" s="18">
        <f t="shared" si="2"/>
        <v>0</v>
      </c>
      <c r="K61" s="5">
        <v>0</v>
      </c>
      <c r="L61" s="18">
        <f t="shared" si="3"/>
        <v>50000</v>
      </c>
      <c r="M61" s="5">
        <v>1</v>
      </c>
      <c r="N61" s="19">
        <f t="shared" si="4"/>
        <v>150000</v>
      </c>
    </row>
    <row r="62" spans="1:14" x14ac:dyDescent="0.45">
      <c r="A62" s="17">
        <f t="shared" si="5"/>
        <v>61</v>
      </c>
      <c r="B62" s="5" t="s">
        <v>128</v>
      </c>
      <c r="C62" s="18" t="s">
        <v>355</v>
      </c>
      <c r="D62" s="18">
        <f t="shared" si="7"/>
        <v>0</v>
      </c>
      <c r="E62" s="18">
        <v>0</v>
      </c>
      <c r="F62" s="18">
        <f t="shared" si="8"/>
        <v>20000</v>
      </c>
      <c r="G62" s="18">
        <v>1</v>
      </c>
      <c r="H62" s="18">
        <f t="shared" si="9"/>
        <v>0</v>
      </c>
      <c r="I62" s="18">
        <v>0</v>
      </c>
      <c r="J62" s="18">
        <f t="shared" si="2"/>
        <v>90000</v>
      </c>
      <c r="K62" s="5">
        <v>3</v>
      </c>
      <c r="L62" s="18">
        <f t="shared" si="3"/>
        <v>0</v>
      </c>
      <c r="M62" s="5">
        <v>0</v>
      </c>
      <c r="N62" s="19">
        <f t="shared" si="4"/>
        <v>90000</v>
      </c>
    </row>
    <row r="63" spans="1:14" x14ac:dyDescent="0.45">
      <c r="A63" s="17">
        <f t="shared" si="5"/>
        <v>62</v>
      </c>
      <c r="B63" s="5" t="s">
        <v>129</v>
      </c>
      <c r="C63" s="18" t="s">
        <v>355</v>
      </c>
      <c r="D63" s="18">
        <f t="shared" si="7"/>
        <v>0</v>
      </c>
      <c r="E63" s="18">
        <v>0</v>
      </c>
      <c r="F63" s="18">
        <f t="shared" si="8"/>
        <v>0</v>
      </c>
      <c r="G63" s="18">
        <v>0</v>
      </c>
      <c r="H63" s="18">
        <f t="shared" si="9"/>
        <v>0</v>
      </c>
      <c r="I63" s="18">
        <v>0</v>
      </c>
      <c r="J63" s="18">
        <f t="shared" si="2"/>
        <v>0</v>
      </c>
      <c r="K63" s="5">
        <v>0</v>
      </c>
      <c r="L63" s="18">
        <f t="shared" si="3"/>
        <v>50000</v>
      </c>
      <c r="M63" s="5">
        <v>1</v>
      </c>
      <c r="N63" s="19">
        <f t="shared" si="4"/>
        <v>150000</v>
      </c>
    </row>
    <row r="64" spans="1:14" x14ac:dyDescent="0.45">
      <c r="A64" s="17">
        <f t="shared" si="5"/>
        <v>63</v>
      </c>
      <c r="B64" s="5" t="s">
        <v>130</v>
      </c>
      <c r="C64" s="18" t="s">
        <v>355</v>
      </c>
      <c r="D64" s="18">
        <f t="shared" si="7"/>
        <v>0</v>
      </c>
      <c r="E64" s="18">
        <v>0</v>
      </c>
      <c r="F64" s="18">
        <f t="shared" si="8"/>
        <v>0</v>
      </c>
      <c r="G64" s="18">
        <v>0</v>
      </c>
      <c r="H64" s="18">
        <f t="shared" si="9"/>
        <v>0</v>
      </c>
      <c r="I64" s="18">
        <v>0</v>
      </c>
      <c r="J64" s="18">
        <f t="shared" si="2"/>
        <v>90000</v>
      </c>
      <c r="K64" s="5">
        <v>3</v>
      </c>
      <c r="L64" s="18">
        <f t="shared" si="3"/>
        <v>100000</v>
      </c>
      <c r="M64" s="5">
        <v>2</v>
      </c>
      <c r="N64" s="19">
        <f t="shared" si="4"/>
        <v>10000</v>
      </c>
    </row>
    <row r="65" spans="1:14" x14ac:dyDescent="0.45">
      <c r="A65" s="17">
        <f t="shared" si="5"/>
        <v>64</v>
      </c>
      <c r="B65" s="5" t="s">
        <v>131</v>
      </c>
      <c r="C65" s="18" t="s">
        <v>355</v>
      </c>
      <c r="D65" s="18">
        <f t="shared" si="7"/>
        <v>0</v>
      </c>
      <c r="E65" s="18">
        <v>0</v>
      </c>
      <c r="F65" s="18">
        <f t="shared" si="8"/>
        <v>0</v>
      </c>
      <c r="G65" s="18">
        <v>0</v>
      </c>
      <c r="H65" s="18">
        <f t="shared" si="9"/>
        <v>0</v>
      </c>
      <c r="I65" s="18">
        <v>0</v>
      </c>
      <c r="J65" s="18">
        <f t="shared" si="2"/>
        <v>30000</v>
      </c>
      <c r="K65" s="5">
        <v>1</v>
      </c>
      <c r="L65" s="18">
        <f t="shared" si="3"/>
        <v>50000</v>
      </c>
      <c r="M65" s="5">
        <v>1</v>
      </c>
      <c r="N65" s="19">
        <f t="shared" si="4"/>
        <v>120000</v>
      </c>
    </row>
    <row r="66" spans="1:14" x14ac:dyDescent="0.45">
      <c r="A66" s="17">
        <f t="shared" si="5"/>
        <v>65</v>
      </c>
      <c r="B66" s="5" t="s">
        <v>132</v>
      </c>
      <c r="C66" s="18" t="s">
        <v>355</v>
      </c>
      <c r="D66" s="18">
        <f t="shared" ref="D66:D97" si="10">E66*2000</f>
        <v>0</v>
      </c>
      <c r="E66" s="18">
        <v>0</v>
      </c>
      <c r="F66" s="18">
        <f t="shared" ref="F66:F97" si="11">G66*20000</f>
        <v>0</v>
      </c>
      <c r="G66" s="18">
        <v>0</v>
      </c>
      <c r="H66" s="18">
        <f t="shared" ref="H66:H97" si="12">I66*30000</f>
        <v>0</v>
      </c>
      <c r="I66" s="18">
        <v>0</v>
      </c>
      <c r="J66" s="18">
        <f t="shared" ref="J66:J101" si="13">K66*30000</f>
        <v>60000</v>
      </c>
      <c r="K66" s="5">
        <v>2</v>
      </c>
      <c r="L66" s="18">
        <f t="shared" ref="L66:L91" si="14">M66*50000</f>
        <v>0</v>
      </c>
      <c r="M66" s="5">
        <v>0</v>
      </c>
      <c r="N66" s="19">
        <f t="shared" ref="N66:N101" si="15">200000-L66-J66-H66-F66-D66</f>
        <v>140000</v>
      </c>
    </row>
    <row r="67" spans="1:14" x14ac:dyDescent="0.45">
      <c r="A67" s="17">
        <f t="shared" ref="A67:A101" si="16">ROW(A67)-1</f>
        <v>66</v>
      </c>
      <c r="B67" s="5" t="s">
        <v>133</v>
      </c>
      <c r="C67" s="18" t="s">
        <v>355</v>
      </c>
      <c r="D67" s="18">
        <f t="shared" si="10"/>
        <v>0</v>
      </c>
      <c r="E67" s="18">
        <v>0</v>
      </c>
      <c r="F67" s="18">
        <f t="shared" si="11"/>
        <v>0</v>
      </c>
      <c r="G67" s="18">
        <v>0</v>
      </c>
      <c r="H67" s="18">
        <f t="shared" si="12"/>
        <v>0</v>
      </c>
      <c r="I67" s="18">
        <v>0</v>
      </c>
      <c r="J67" s="18">
        <f t="shared" si="13"/>
        <v>30000</v>
      </c>
      <c r="K67" s="5">
        <v>1</v>
      </c>
      <c r="L67" s="18">
        <f t="shared" si="14"/>
        <v>100000</v>
      </c>
      <c r="M67" s="5">
        <v>2</v>
      </c>
      <c r="N67" s="19">
        <f t="shared" si="15"/>
        <v>70000</v>
      </c>
    </row>
    <row r="68" spans="1:14" x14ac:dyDescent="0.45">
      <c r="A68" s="17">
        <f t="shared" si="16"/>
        <v>67</v>
      </c>
      <c r="B68" s="5" t="s">
        <v>134</v>
      </c>
      <c r="C68" s="18" t="s">
        <v>355</v>
      </c>
      <c r="D68" s="18">
        <f t="shared" si="10"/>
        <v>0</v>
      </c>
      <c r="E68" s="18">
        <v>0</v>
      </c>
      <c r="F68" s="18">
        <f t="shared" si="11"/>
        <v>0</v>
      </c>
      <c r="G68" s="18">
        <v>0</v>
      </c>
      <c r="H68" s="18">
        <f t="shared" si="12"/>
        <v>0</v>
      </c>
      <c r="I68" s="18">
        <v>0</v>
      </c>
      <c r="J68" s="18">
        <f t="shared" si="13"/>
        <v>0</v>
      </c>
      <c r="K68" s="18">
        <v>0</v>
      </c>
      <c r="L68" s="18">
        <f t="shared" si="14"/>
        <v>0</v>
      </c>
      <c r="M68" s="18">
        <v>0</v>
      </c>
      <c r="N68" s="19">
        <f t="shared" si="15"/>
        <v>200000</v>
      </c>
    </row>
    <row r="69" spans="1:14" x14ac:dyDescent="0.45">
      <c r="A69" s="17">
        <f t="shared" si="16"/>
        <v>68</v>
      </c>
      <c r="B69" s="5" t="s">
        <v>135</v>
      </c>
      <c r="C69" s="18" t="s">
        <v>355</v>
      </c>
      <c r="D69" s="18">
        <f t="shared" si="10"/>
        <v>0</v>
      </c>
      <c r="E69" s="18">
        <v>0</v>
      </c>
      <c r="F69" s="18">
        <f t="shared" si="11"/>
        <v>20000</v>
      </c>
      <c r="G69" s="18">
        <v>1</v>
      </c>
      <c r="H69" s="18">
        <f t="shared" si="12"/>
        <v>0</v>
      </c>
      <c r="I69" s="18">
        <v>0</v>
      </c>
      <c r="J69" s="18">
        <f t="shared" si="13"/>
        <v>0</v>
      </c>
      <c r="K69" s="5">
        <v>0</v>
      </c>
      <c r="L69" s="18">
        <f t="shared" si="14"/>
        <v>0</v>
      </c>
      <c r="M69" s="5">
        <v>0</v>
      </c>
      <c r="N69" s="19">
        <f t="shared" si="15"/>
        <v>180000</v>
      </c>
    </row>
    <row r="70" spans="1:14" x14ac:dyDescent="0.45">
      <c r="A70" s="17">
        <f t="shared" si="16"/>
        <v>69</v>
      </c>
      <c r="B70" s="5" t="s">
        <v>136</v>
      </c>
      <c r="C70" s="18" t="s">
        <v>355</v>
      </c>
      <c r="D70" s="18">
        <f t="shared" si="10"/>
        <v>0</v>
      </c>
      <c r="E70" s="18">
        <v>0</v>
      </c>
      <c r="F70" s="18">
        <f t="shared" si="11"/>
        <v>0</v>
      </c>
      <c r="G70" s="18">
        <v>0</v>
      </c>
      <c r="H70" s="18">
        <f t="shared" si="12"/>
        <v>0</v>
      </c>
      <c r="I70" s="18">
        <v>0</v>
      </c>
      <c r="J70" s="18">
        <f t="shared" si="13"/>
        <v>0</v>
      </c>
      <c r="K70" s="5">
        <v>0</v>
      </c>
      <c r="L70" s="18">
        <f t="shared" si="14"/>
        <v>100000</v>
      </c>
      <c r="M70" s="5">
        <v>2</v>
      </c>
      <c r="N70" s="19">
        <f t="shared" si="15"/>
        <v>100000</v>
      </c>
    </row>
    <row r="71" spans="1:14" x14ac:dyDescent="0.45">
      <c r="A71" s="17">
        <f t="shared" si="16"/>
        <v>70</v>
      </c>
      <c r="B71" s="5" t="s">
        <v>137</v>
      </c>
      <c r="C71" s="18" t="s">
        <v>355</v>
      </c>
      <c r="D71" s="18">
        <f t="shared" si="10"/>
        <v>2000</v>
      </c>
      <c r="E71" s="18">
        <v>1</v>
      </c>
      <c r="F71" s="18">
        <f t="shared" si="11"/>
        <v>0</v>
      </c>
      <c r="G71" s="18">
        <v>0</v>
      </c>
      <c r="H71" s="18">
        <f t="shared" si="12"/>
        <v>0</v>
      </c>
      <c r="I71" s="18">
        <v>0</v>
      </c>
      <c r="J71" s="18">
        <f t="shared" si="13"/>
        <v>120000</v>
      </c>
      <c r="K71" s="5">
        <v>4</v>
      </c>
      <c r="L71" s="18">
        <f t="shared" si="14"/>
        <v>0</v>
      </c>
      <c r="M71" s="5">
        <v>0</v>
      </c>
      <c r="N71" s="19">
        <f t="shared" si="15"/>
        <v>78000</v>
      </c>
    </row>
    <row r="72" spans="1:14" x14ac:dyDescent="0.45">
      <c r="A72" s="17">
        <f t="shared" si="16"/>
        <v>71</v>
      </c>
      <c r="B72" s="5" t="s">
        <v>138</v>
      </c>
      <c r="C72" s="18" t="s">
        <v>355</v>
      </c>
      <c r="D72" s="18">
        <f t="shared" si="10"/>
        <v>0</v>
      </c>
      <c r="E72" s="18">
        <v>0</v>
      </c>
      <c r="F72" s="18">
        <f t="shared" si="11"/>
        <v>0</v>
      </c>
      <c r="G72" s="18">
        <v>0</v>
      </c>
      <c r="H72" s="18">
        <f t="shared" si="12"/>
        <v>0</v>
      </c>
      <c r="I72" s="18">
        <v>0</v>
      </c>
      <c r="J72" s="18">
        <f t="shared" si="13"/>
        <v>30000</v>
      </c>
      <c r="K72" s="5">
        <v>1</v>
      </c>
      <c r="L72" s="18">
        <f t="shared" si="14"/>
        <v>50000</v>
      </c>
      <c r="M72" s="5">
        <v>1</v>
      </c>
      <c r="N72" s="19">
        <f t="shared" si="15"/>
        <v>120000</v>
      </c>
    </row>
    <row r="73" spans="1:14" x14ac:dyDescent="0.45">
      <c r="A73" s="17">
        <f t="shared" si="16"/>
        <v>72</v>
      </c>
      <c r="B73" s="5" t="s">
        <v>139</v>
      </c>
      <c r="C73" s="18" t="s">
        <v>355</v>
      </c>
      <c r="D73" s="18">
        <f t="shared" si="10"/>
        <v>0</v>
      </c>
      <c r="E73" s="18">
        <v>0</v>
      </c>
      <c r="F73" s="18">
        <f t="shared" si="11"/>
        <v>0</v>
      </c>
      <c r="G73" s="18">
        <v>0</v>
      </c>
      <c r="H73" s="18">
        <f t="shared" si="12"/>
        <v>0</v>
      </c>
      <c r="I73" s="18">
        <v>0</v>
      </c>
      <c r="J73" s="18">
        <f t="shared" si="13"/>
        <v>0</v>
      </c>
      <c r="K73" s="5">
        <v>0</v>
      </c>
      <c r="L73" s="18">
        <f t="shared" si="14"/>
        <v>0</v>
      </c>
      <c r="M73" s="5">
        <v>0</v>
      </c>
      <c r="N73" s="19">
        <f t="shared" si="15"/>
        <v>200000</v>
      </c>
    </row>
    <row r="74" spans="1:14" x14ac:dyDescent="0.45">
      <c r="A74" s="17">
        <f t="shared" si="16"/>
        <v>73</v>
      </c>
      <c r="B74" s="5" t="s">
        <v>140</v>
      </c>
      <c r="C74" s="18" t="s">
        <v>355</v>
      </c>
      <c r="D74" s="18">
        <f t="shared" si="10"/>
        <v>0</v>
      </c>
      <c r="E74" s="18">
        <v>0</v>
      </c>
      <c r="F74" s="18">
        <f t="shared" si="11"/>
        <v>0</v>
      </c>
      <c r="G74" s="18">
        <v>0</v>
      </c>
      <c r="H74" s="18">
        <f t="shared" si="12"/>
        <v>0</v>
      </c>
      <c r="I74" s="18">
        <v>0</v>
      </c>
      <c r="J74" s="18">
        <f t="shared" si="13"/>
        <v>180000</v>
      </c>
      <c r="K74" s="5">
        <v>6</v>
      </c>
      <c r="L74" s="18">
        <f t="shared" si="14"/>
        <v>0</v>
      </c>
      <c r="M74" s="5">
        <v>0</v>
      </c>
      <c r="N74" s="19">
        <f t="shared" si="15"/>
        <v>20000</v>
      </c>
    </row>
    <row r="75" spans="1:14" x14ac:dyDescent="0.45">
      <c r="A75" s="17">
        <f t="shared" si="16"/>
        <v>74</v>
      </c>
      <c r="B75" s="5" t="s">
        <v>141</v>
      </c>
      <c r="C75" s="18" t="s">
        <v>355</v>
      </c>
      <c r="D75" s="18">
        <f t="shared" si="10"/>
        <v>0</v>
      </c>
      <c r="E75" s="18">
        <v>0</v>
      </c>
      <c r="F75" s="18">
        <f t="shared" si="11"/>
        <v>0</v>
      </c>
      <c r="G75" s="18">
        <v>0</v>
      </c>
      <c r="H75" s="18">
        <f t="shared" si="12"/>
        <v>0</v>
      </c>
      <c r="I75" s="18">
        <v>0</v>
      </c>
      <c r="J75" s="18">
        <f t="shared" si="13"/>
        <v>30000</v>
      </c>
      <c r="K75" s="5">
        <v>1</v>
      </c>
      <c r="L75" s="18">
        <f t="shared" si="14"/>
        <v>100000</v>
      </c>
      <c r="M75" s="5">
        <v>2</v>
      </c>
      <c r="N75" s="19">
        <f t="shared" si="15"/>
        <v>70000</v>
      </c>
    </row>
    <row r="76" spans="1:14" x14ac:dyDescent="0.45">
      <c r="A76" s="17">
        <f t="shared" si="16"/>
        <v>75</v>
      </c>
      <c r="B76" s="5" t="s">
        <v>142</v>
      </c>
      <c r="C76" s="18" t="s">
        <v>355</v>
      </c>
      <c r="D76" s="18">
        <f t="shared" si="10"/>
        <v>0</v>
      </c>
      <c r="E76" s="18">
        <v>0</v>
      </c>
      <c r="F76" s="18">
        <f t="shared" si="11"/>
        <v>0</v>
      </c>
      <c r="G76" s="18">
        <v>0</v>
      </c>
      <c r="H76" s="18">
        <f t="shared" si="12"/>
        <v>0</v>
      </c>
      <c r="I76" s="18">
        <v>0</v>
      </c>
      <c r="J76" s="18">
        <f t="shared" si="13"/>
        <v>30000</v>
      </c>
      <c r="K76" s="5">
        <v>1</v>
      </c>
      <c r="L76" s="18">
        <f t="shared" si="14"/>
        <v>0</v>
      </c>
      <c r="M76" s="5">
        <v>0</v>
      </c>
      <c r="N76" s="19">
        <f t="shared" si="15"/>
        <v>170000</v>
      </c>
    </row>
    <row r="77" spans="1:14" x14ac:dyDescent="0.45">
      <c r="A77" s="17">
        <f t="shared" si="16"/>
        <v>76</v>
      </c>
      <c r="B77" s="5" t="s">
        <v>143</v>
      </c>
      <c r="C77" s="18" t="s">
        <v>355</v>
      </c>
      <c r="D77" s="18">
        <f t="shared" si="10"/>
        <v>0</v>
      </c>
      <c r="E77" s="18">
        <v>0</v>
      </c>
      <c r="F77" s="18">
        <f t="shared" si="11"/>
        <v>0</v>
      </c>
      <c r="G77" s="18">
        <v>0</v>
      </c>
      <c r="H77" s="18">
        <f t="shared" si="12"/>
        <v>0</v>
      </c>
      <c r="I77" s="18">
        <v>0</v>
      </c>
      <c r="J77" s="18">
        <f t="shared" si="13"/>
        <v>60000</v>
      </c>
      <c r="K77" s="5">
        <v>2</v>
      </c>
      <c r="L77" s="18">
        <f t="shared" si="14"/>
        <v>50000</v>
      </c>
      <c r="M77" s="5">
        <v>1</v>
      </c>
      <c r="N77" s="19">
        <f t="shared" si="15"/>
        <v>90000</v>
      </c>
    </row>
    <row r="78" spans="1:14" x14ac:dyDescent="0.45">
      <c r="A78" s="17">
        <f t="shared" si="16"/>
        <v>77</v>
      </c>
      <c r="B78" s="5" t="s">
        <v>144</v>
      </c>
      <c r="C78" s="18" t="s">
        <v>355</v>
      </c>
      <c r="D78" s="18">
        <f t="shared" si="10"/>
        <v>0</v>
      </c>
      <c r="E78" s="18">
        <v>0</v>
      </c>
      <c r="F78" s="18">
        <f t="shared" si="11"/>
        <v>0</v>
      </c>
      <c r="G78" s="18">
        <v>0</v>
      </c>
      <c r="H78" s="18">
        <f t="shared" si="12"/>
        <v>0</v>
      </c>
      <c r="I78" s="18">
        <v>0</v>
      </c>
      <c r="J78" s="18">
        <f t="shared" si="13"/>
        <v>30000</v>
      </c>
      <c r="K78" s="5">
        <v>1</v>
      </c>
      <c r="L78" s="18">
        <f t="shared" si="14"/>
        <v>0</v>
      </c>
      <c r="M78" s="5">
        <v>0</v>
      </c>
      <c r="N78" s="19">
        <f t="shared" si="15"/>
        <v>170000</v>
      </c>
    </row>
    <row r="79" spans="1:14" x14ac:dyDescent="0.45">
      <c r="A79" s="17">
        <f t="shared" si="16"/>
        <v>78</v>
      </c>
      <c r="B79" s="5" t="s">
        <v>145</v>
      </c>
      <c r="C79" s="18" t="s">
        <v>355</v>
      </c>
      <c r="D79" s="18">
        <f t="shared" si="10"/>
        <v>0</v>
      </c>
      <c r="E79" s="18">
        <v>0</v>
      </c>
      <c r="F79" s="18">
        <f t="shared" si="11"/>
        <v>0</v>
      </c>
      <c r="G79" s="18">
        <v>0</v>
      </c>
      <c r="H79" s="18">
        <f t="shared" si="12"/>
        <v>0</v>
      </c>
      <c r="I79" s="18">
        <v>0</v>
      </c>
      <c r="J79" s="18">
        <f t="shared" si="13"/>
        <v>30000</v>
      </c>
      <c r="K79" s="5">
        <v>1</v>
      </c>
      <c r="L79" s="18">
        <f t="shared" si="14"/>
        <v>0</v>
      </c>
      <c r="M79" s="5">
        <v>0</v>
      </c>
      <c r="N79" s="19">
        <f t="shared" si="15"/>
        <v>170000</v>
      </c>
    </row>
    <row r="80" spans="1:14" x14ac:dyDescent="0.45">
      <c r="A80" s="17">
        <f t="shared" si="16"/>
        <v>79</v>
      </c>
      <c r="B80" s="5" t="s">
        <v>146</v>
      </c>
      <c r="C80" s="18" t="s">
        <v>355</v>
      </c>
      <c r="D80" s="18">
        <f t="shared" si="10"/>
        <v>0</v>
      </c>
      <c r="E80" s="18">
        <v>0</v>
      </c>
      <c r="F80" s="18">
        <f t="shared" si="11"/>
        <v>0</v>
      </c>
      <c r="G80" s="18">
        <v>0</v>
      </c>
      <c r="H80" s="18">
        <f t="shared" si="12"/>
        <v>0</v>
      </c>
      <c r="I80" s="18">
        <v>0</v>
      </c>
      <c r="J80" s="18">
        <f t="shared" si="13"/>
        <v>60000</v>
      </c>
      <c r="K80" s="5">
        <v>2</v>
      </c>
      <c r="L80" s="18">
        <f t="shared" si="14"/>
        <v>100000</v>
      </c>
      <c r="M80" s="5">
        <v>2</v>
      </c>
      <c r="N80" s="19">
        <f t="shared" si="15"/>
        <v>40000</v>
      </c>
    </row>
    <row r="81" spans="1:14" x14ac:dyDescent="0.45">
      <c r="A81" s="17">
        <f t="shared" si="16"/>
        <v>80</v>
      </c>
      <c r="B81" s="5" t="s">
        <v>147</v>
      </c>
      <c r="C81" s="18" t="s">
        <v>355</v>
      </c>
      <c r="D81" s="18">
        <f t="shared" si="10"/>
        <v>0</v>
      </c>
      <c r="E81" s="18">
        <v>0</v>
      </c>
      <c r="F81" s="18">
        <f t="shared" si="11"/>
        <v>0</v>
      </c>
      <c r="G81" s="18">
        <v>0</v>
      </c>
      <c r="H81" s="18">
        <f t="shared" si="12"/>
        <v>0</v>
      </c>
      <c r="I81" s="18">
        <v>0</v>
      </c>
      <c r="J81" s="18">
        <f t="shared" si="13"/>
        <v>0</v>
      </c>
      <c r="K81" s="5">
        <v>0</v>
      </c>
      <c r="L81" s="18">
        <f t="shared" si="14"/>
        <v>0</v>
      </c>
      <c r="M81" s="5">
        <v>0</v>
      </c>
      <c r="N81" s="19">
        <f t="shared" si="15"/>
        <v>200000</v>
      </c>
    </row>
    <row r="82" spans="1:14" x14ac:dyDescent="0.45">
      <c r="A82" s="17">
        <f t="shared" si="16"/>
        <v>81</v>
      </c>
      <c r="B82" s="5" t="s">
        <v>148</v>
      </c>
      <c r="C82" s="18" t="s">
        <v>355</v>
      </c>
      <c r="D82" s="18">
        <f t="shared" si="10"/>
        <v>0</v>
      </c>
      <c r="E82" s="18">
        <v>0</v>
      </c>
      <c r="F82" s="18">
        <f t="shared" si="11"/>
        <v>0</v>
      </c>
      <c r="G82" s="18">
        <v>0</v>
      </c>
      <c r="H82" s="18">
        <f t="shared" si="12"/>
        <v>0</v>
      </c>
      <c r="I82" s="18">
        <v>0</v>
      </c>
      <c r="J82" s="18">
        <f t="shared" si="13"/>
        <v>60000</v>
      </c>
      <c r="K82" s="5">
        <v>2</v>
      </c>
      <c r="L82" s="18">
        <f t="shared" si="14"/>
        <v>50000</v>
      </c>
      <c r="M82" s="5">
        <v>1</v>
      </c>
      <c r="N82" s="19">
        <f t="shared" si="15"/>
        <v>90000</v>
      </c>
    </row>
    <row r="83" spans="1:14" x14ac:dyDescent="0.45">
      <c r="A83" s="17">
        <f t="shared" si="16"/>
        <v>82</v>
      </c>
      <c r="B83" s="5" t="s">
        <v>149</v>
      </c>
      <c r="C83" s="18" t="s">
        <v>355</v>
      </c>
      <c r="D83" s="18">
        <f t="shared" si="10"/>
        <v>0</v>
      </c>
      <c r="E83" s="18">
        <v>0</v>
      </c>
      <c r="F83" s="18">
        <f t="shared" si="11"/>
        <v>0</v>
      </c>
      <c r="G83" s="18">
        <v>0</v>
      </c>
      <c r="H83" s="18">
        <f t="shared" si="12"/>
        <v>0</v>
      </c>
      <c r="I83" s="18">
        <v>0</v>
      </c>
      <c r="J83" s="18">
        <f t="shared" si="13"/>
        <v>60000</v>
      </c>
      <c r="K83" s="5">
        <v>2</v>
      </c>
      <c r="L83" s="18">
        <f t="shared" si="14"/>
        <v>100000</v>
      </c>
      <c r="M83" s="5">
        <v>2</v>
      </c>
      <c r="N83" s="19">
        <f t="shared" si="15"/>
        <v>40000</v>
      </c>
    </row>
    <row r="84" spans="1:14" x14ac:dyDescent="0.45">
      <c r="A84" s="17">
        <f t="shared" si="16"/>
        <v>83</v>
      </c>
      <c r="B84" s="5" t="s">
        <v>150</v>
      </c>
      <c r="C84" s="18" t="s">
        <v>355</v>
      </c>
      <c r="D84" s="18">
        <f t="shared" si="10"/>
        <v>0</v>
      </c>
      <c r="E84" s="18">
        <v>0</v>
      </c>
      <c r="F84" s="18">
        <f t="shared" si="11"/>
        <v>0</v>
      </c>
      <c r="G84" s="18">
        <v>0</v>
      </c>
      <c r="H84" s="18">
        <f t="shared" si="12"/>
        <v>0</v>
      </c>
      <c r="I84" s="18">
        <v>0</v>
      </c>
      <c r="J84" s="18">
        <f t="shared" si="13"/>
        <v>60000</v>
      </c>
      <c r="K84" s="5">
        <v>2</v>
      </c>
      <c r="L84" s="18">
        <f t="shared" si="14"/>
        <v>50000</v>
      </c>
      <c r="M84" s="5">
        <v>1</v>
      </c>
      <c r="N84" s="19">
        <f t="shared" si="15"/>
        <v>90000</v>
      </c>
    </row>
    <row r="85" spans="1:14" x14ac:dyDescent="0.45">
      <c r="A85" s="17">
        <f t="shared" si="16"/>
        <v>84</v>
      </c>
      <c r="B85" s="5" t="s">
        <v>151</v>
      </c>
      <c r="C85" s="18" t="s">
        <v>355</v>
      </c>
      <c r="D85" s="18">
        <f t="shared" si="10"/>
        <v>0</v>
      </c>
      <c r="E85" s="18">
        <v>0</v>
      </c>
      <c r="F85" s="18">
        <f t="shared" si="11"/>
        <v>0</v>
      </c>
      <c r="G85" s="18">
        <v>0</v>
      </c>
      <c r="H85" s="18">
        <f t="shared" si="12"/>
        <v>0</v>
      </c>
      <c r="I85" s="18">
        <v>0</v>
      </c>
      <c r="J85" s="18">
        <f t="shared" si="13"/>
        <v>30000</v>
      </c>
      <c r="K85" s="5">
        <v>1</v>
      </c>
      <c r="L85" s="18">
        <f t="shared" si="14"/>
        <v>50000</v>
      </c>
      <c r="M85" s="5">
        <v>1</v>
      </c>
      <c r="N85" s="19">
        <f t="shared" si="15"/>
        <v>120000</v>
      </c>
    </row>
    <row r="86" spans="1:14" x14ac:dyDescent="0.45">
      <c r="A86" s="17">
        <f t="shared" si="16"/>
        <v>85</v>
      </c>
      <c r="B86" s="5" t="s">
        <v>152</v>
      </c>
      <c r="C86" s="18" t="s">
        <v>355</v>
      </c>
      <c r="D86" s="18">
        <f t="shared" si="10"/>
        <v>0</v>
      </c>
      <c r="E86" s="18">
        <v>0</v>
      </c>
      <c r="F86" s="18">
        <f t="shared" si="11"/>
        <v>0</v>
      </c>
      <c r="G86" s="18">
        <v>0</v>
      </c>
      <c r="H86" s="18">
        <f t="shared" si="12"/>
        <v>0</v>
      </c>
      <c r="I86" s="18">
        <v>0</v>
      </c>
      <c r="J86" s="18">
        <f t="shared" si="13"/>
        <v>90000</v>
      </c>
      <c r="K86" s="5">
        <v>3</v>
      </c>
      <c r="L86" s="18">
        <f t="shared" si="14"/>
        <v>100000</v>
      </c>
      <c r="M86" s="5">
        <v>2</v>
      </c>
      <c r="N86" s="19">
        <f t="shared" si="15"/>
        <v>10000</v>
      </c>
    </row>
    <row r="87" spans="1:14" x14ac:dyDescent="0.45">
      <c r="A87" s="17">
        <f t="shared" si="16"/>
        <v>86</v>
      </c>
      <c r="B87" s="5" t="s">
        <v>153</v>
      </c>
      <c r="C87" s="18" t="s">
        <v>355</v>
      </c>
      <c r="D87" s="18">
        <f t="shared" si="10"/>
        <v>0</v>
      </c>
      <c r="E87" s="18">
        <v>0</v>
      </c>
      <c r="F87" s="18">
        <f t="shared" si="11"/>
        <v>0</v>
      </c>
      <c r="G87" s="18">
        <v>0</v>
      </c>
      <c r="H87" s="18">
        <f t="shared" si="12"/>
        <v>0</v>
      </c>
      <c r="I87" s="18">
        <v>0</v>
      </c>
      <c r="J87" s="18">
        <f t="shared" si="13"/>
        <v>60000</v>
      </c>
      <c r="K87" s="5">
        <v>2</v>
      </c>
      <c r="L87" s="18">
        <f t="shared" si="14"/>
        <v>50000</v>
      </c>
      <c r="M87" s="5">
        <v>1</v>
      </c>
      <c r="N87" s="19">
        <f t="shared" si="15"/>
        <v>90000</v>
      </c>
    </row>
    <row r="88" spans="1:14" x14ac:dyDescent="0.45">
      <c r="A88" s="17">
        <f t="shared" si="16"/>
        <v>87</v>
      </c>
      <c r="B88" s="5" t="s">
        <v>154</v>
      </c>
      <c r="C88" s="18" t="s">
        <v>355</v>
      </c>
      <c r="D88" s="18">
        <f t="shared" si="10"/>
        <v>0</v>
      </c>
      <c r="E88" s="18">
        <v>0</v>
      </c>
      <c r="F88" s="18">
        <f t="shared" si="11"/>
        <v>0</v>
      </c>
      <c r="G88" s="18">
        <v>0</v>
      </c>
      <c r="H88" s="18">
        <f t="shared" si="12"/>
        <v>0</v>
      </c>
      <c r="I88" s="18">
        <v>0</v>
      </c>
      <c r="J88" s="18">
        <f t="shared" si="13"/>
        <v>30000</v>
      </c>
      <c r="K88" s="5">
        <v>1</v>
      </c>
      <c r="L88" s="18">
        <f t="shared" si="14"/>
        <v>0</v>
      </c>
      <c r="M88" s="5">
        <v>0</v>
      </c>
      <c r="N88" s="19">
        <f t="shared" si="15"/>
        <v>170000</v>
      </c>
    </row>
    <row r="89" spans="1:14" x14ac:dyDescent="0.45">
      <c r="A89" s="17">
        <f t="shared" si="16"/>
        <v>88</v>
      </c>
      <c r="B89" s="5" t="s">
        <v>155</v>
      </c>
      <c r="C89" s="18" t="s">
        <v>355</v>
      </c>
      <c r="D89" s="18">
        <f t="shared" si="10"/>
        <v>0</v>
      </c>
      <c r="E89" s="18">
        <v>0</v>
      </c>
      <c r="F89" s="18">
        <f t="shared" si="11"/>
        <v>0</v>
      </c>
      <c r="G89" s="18">
        <v>0</v>
      </c>
      <c r="H89" s="18">
        <f t="shared" si="12"/>
        <v>0</v>
      </c>
      <c r="I89" s="18">
        <v>0</v>
      </c>
      <c r="J89" s="18">
        <f t="shared" si="13"/>
        <v>0</v>
      </c>
      <c r="K89" s="5">
        <v>0</v>
      </c>
      <c r="L89" s="18">
        <f t="shared" si="14"/>
        <v>0</v>
      </c>
      <c r="M89" s="5">
        <v>0</v>
      </c>
      <c r="N89" s="19">
        <f t="shared" si="15"/>
        <v>200000</v>
      </c>
    </row>
    <row r="90" spans="1:14" x14ac:dyDescent="0.45">
      <c r="A90" s="17">
        <f t="shared" si="16"/>
        <v>89</v>
      </c>
      <c r="B90" s="5" t="s">
        <v>156</v>
      </c>
      <c r="C90" s="18" t="s">
        <v>355</v>
      </c>
      <c r="D90" s="18">
        <f t="shared" si="10"/>
        <v>0</v>
      </c>
      <c r="E90" s="18">
        <v>0</v>
      </c>
      <c r="F90" s="18">
        <f t="shared" si="11"/>
        <v>0</v>
      </c>
      <c r="G90" s="18">
        <v>0</v>
      </c>
      <c r="H90" s="18">
        <f t="shared" si="12"/>
        <v>0</v>
      </c>
      <c r="I90" s="18">
        <v>0</v>
      </c>
      <c r="J90" s="18">
        <f t="shared" si="13"/>
        <v>0</v>
      </c>
      <c r="K90" s="5">
        <v>0</v>
      </c>
      <c r="L90" s="18">
        <f t="shared" si="14"/>
        <v>0</v>
      </c>
      <c r="M90" s="5">
        <v>0</v>
      </c>
      <c r="N90" s="19">
        <f t="shared" si="15"/>
        <v>200000</v>
      </c>
    </row>
    <row r="91" spans="1:14" x14ac:dyDescent="0.45">
      <c r="A91" s="17">
        <f t="shared" si="16"/>
        <v>90</v>
      </c>
      <c r="B91" s="5" t="s">
        <v>157</v>
      </c>
      <c r="C91" s="18" t="s">
        <v>355</v>
      </c>
      <c r="D91" s="18">
        <f t="shared" si="10"/>
        <v>0</v>
      </c>
      <c r="E91" s="18">
        <v>0</v>
      </c>
      <c r="F91" s="18">
        <f t="shared" si="11"/>
        <v>0</v>
      </c>
      <c r="G91" s="18">
        <v>0</v>
      </c>
      <c r="H91" s="18">
        <f t="shared" si="12"/>
        <v>0</v>
      </c>
      <c r="I91" s="18">
        <v>0</v>
      </c>
      <c r="J91" s="18">
        <f t="shared" si="13"/>
        <v>0</v>
      </c>
      <c r="K91" s="5">
        <v>0</v>
      </c>
      <c r="L91" s="18">
        <f t="shared" si="14"/>
        <v>0</v>
      </c>
      <c r="M91" s="5">
        <v>0</v>
      </c>
      <c r="N91" s="19">
        <f t="shared" si="15"/>
        <v>200000</v>
      </c>
    </row>
    <row r="92" spans="1:14" x14ac:dyDescent="0.45">
      <c r="A92" s="17">
        <f t="shared" si="16"/>
        <v>91</v>
      </c>
      <c r="B92" s="5" t="s">
        <v>158</v>
      </c>
      <c r="C92" s="18" t="s">
        <v>355</v>
      </c>
      <c r="D92" s="18">
        <f t="shared" si="10"/>
        <v>0</v>
      </c>
      <c r="E92" s="18">
        <v>0</v>
      </c>
      <c r="F92" s="18">
        <f t="shared" si="11"/>
        <v>0</v>
      </c>
      <c r="G92" s="18">
        <v>0</v>
      </c>
      <c r="H92" s="18">
        <f t="shared" si="12"/>
        <v>0</v>
      </c>
      <c r="I92" s="18">
        <v>0</v>
      </c>
      <c r="J92" s="18">
        <f t="shared" si="13"/>
        <v>60000</v>
      </c>
      <c r="K92" s="5">
        <v>2</v>
      </c>
      <c r="L92" s="5">
        <f t="shared" ref="L92:L106" si="17">M92*30000</f>
        <v>60000</v>
      </c>
      <c r="M92" s="5">
        <v>2</v>
      </c>
      <c r="N92" s="19">
        <f t="shared" si="15"/>
        <v>80000</v>
      </c>
    </row>
    <row r="93" spans="1:14" x14ac:dyDescent="0.45">
      <c r="A93" s="17">
        <f t="shared" si="16"/>
        <v>92</v>
      </c>
      <c r="B93" s="5" t="s">
        <v>159</v>
      </c>
      <c r="C93" s="18" t="s">
        <v>355</v>
      </c>
      <c r="D93" s="18">
        <f t="shared" si="10"/>
        <v>0</v>
      </c>
      <c r="E93" s="18">
        <v>0</v>
      </c>
      <c r="F93" s="18">
        <f t="shared" si="11"/>
        <v>0</v>
      </c>
      <c r="G93" s="18">
        <v>0</v>
      </c>
      <c r="H93" s="18">
        <f t="shared" si="12"/>
        <v>0</v>
      </c>
      <c r="I93" s="18">
        <v>0</v>
      </c>
      <c r="J93" s="18">
        <f t="shared" si="13"/>
        <v>30000</v>
      </c>
      <c r="K93" s="5">
        <v>1</v>
      </c>
      <c r="L93" s="5">
        <f t="shared" si="17"/>
        <v>0</v>
      </c>
      <c r="M93" s="5">
        <v>0</v>
      </c>
      <c r="N93" s="19">
        <f t="shared" si="15"/>
        <v>170000</v>
      </c>
    </row>
    <row r="94" spans="1:14" x14ac:dyDescent="0.45">
      <c r="A94" s="17">
        <f t="shared" si="16"/>
        <v>93</v>
      </c>
      <c r="B94" s="5" t="s">
        <v>160</v>
      </c>
      <c r="C94" s="18" t="s">
        <v>355</v>
      </c>
      <c r="D94" s="18">
        <f t="shared" si="10"/>
        <v>0</v>
      </c>
      <c r="E94" s="18">
        <v>0</v>
      </c>
      <c r="F94" s="18">
        <f t="shared" si="11"/>
        <v>0</v>
      </c>
      <c r="G94" s="18">
        <v>0</v>
      </c>
      <c r="H94" s="18">
        <f t="shared" si="12"/>
        <v>0</v>
      </c>
      <c r="I94" s="18">
        <v>0</v>
      </c>
      <c r="J94" s="18">
        <f t="shared" si="13"/>
        <v>0</v>
      </c>
      <c r="K94" s="5">
        <v>0</v>
      </c>
      <c r="L94" s="5">
        <f t="shared" si="17"/>
        <v>0</v>
      </c>
      <c r="M94" s="5">
        <v>0</v>
      </c>
      <c r="N94" s="19">
        <f t="shared" si="15"/>
        <v>200000</v>
      </c>
    </row>
    <row r="95" spans="1:14" x14ac:dyDescent="0.45">
      <c r="A95" s="17">
        <f t="shared" si="16"/>
        <v>94</v>
      </c>
      <c r="B95" s="5" t="s">
        <v>161</v>
      </c>
      <c r="C95" s="18" t="s">
        <v>355</v>
      </c>
      <c r="D95" s="18">
        <f t="shared" si="10"/>
        <v>0</v>
      </c>
      <c r="E95" s="18">
        <v>0</v>
      </c>
      <c r="F95" s="18">
        <f t="shared" si="11"/>
        <v>0</v>
      </c>
      <c r="G95" s="18">
        <v>0</v>
      </c>
      <c r="H95" s="18">
        <f t="shared" si="12"/>
        <v>0</v>
      </c>
      <c r="I95" s="18">
        <v>0</v>
      </c>
      <c r="J95" s="18">
        <f t="shared" si="13"/>
        <v>0</v>
      </c>
      <c r="K95" s="5">
        <v>0</v>
      </c>
      <c r="L95" s="5">
        <f t="shared" si="17"/>
        <v>0</v>
      </c>
      <c r="M95" s="5">
        <v>0</v>
      </c>
      <c r="N95" s="19">
        <f t="shared" si="15"/>
        <v>200000</v>
      </c>
    </row>
    <row r="96" spans="1:14" x14ac:dyDescent="0.45">
      <c r="A96" s="17">
        <f t="shared" si="16"/>
        <v>95</v>
      </c>
      <c r="B96" s="5" t="s">
        <v>162</v>
      </c>
      <c r="C96" s="18" t="s">
        <v>355</v>
      </c>
      <c r="D96" s="18">
        <f t="shared" si="10"/>
        <v>0</v>
      </c>
      <c r="E96" s="18">
        <v>0</v>
      </c>
      <c r="F96" s="18">
        <f t="shared" si="11"/>
        <v>0</v>
      </c>
      <c r="G96" s="18">
        <v>0</v>
      </c>
      <c r="H96" s="18">
        <f t="shared" si="12"/>
        <v>0</v>
      </c>
      <c r="I96" s="18">
        <v>0</v>
      </c>
      <c r="J96" s="18">
        <f t="shared" si="13"/>
        <v>60000</v>
      </c>
      <c r="K96" s="5">
        <v>2</v>
      </c>
      <c r="L96" s="5">
        <f t="shared" si="17"/>
        <v>60000</v>
      </c>
      <c r="M96" s="5">
        <v>2</v>
      </c>
      <c r="N96" s="19">
        <f t="shared" si="15"/>
        <v>80000</v>
      </c>
    </row>
    <row r="97" spans="1:14" x14ac:dyDescent="0.45">
      <c r="A97" s="17">
        <f t="shared" si="16"/>
        <v>96</v>
      </c>
      <c r="B97" s="5" t="s">
        <v>163</v>
      </c>
      <c r="C97" s="18" t="s">
        <v>355</v>
      </c>
      <c r="D97" s="18">
        <f t="shared" si="10"/>
        <v>0</v>
      </c>
      <c r="E97" s="18">
        <v>0</v>
      </c>
      <c r="F97" s="18">
        <f t="shared" si="11"/>
        <v>0</v>
      </c>
      <c r="G97" s="18">
        <v>0</v>
      </c>
      <c r="H97" s="18">
        <f t="shared" si="12"/>
        <v>0</v>
      </c>
      <c r="I97" s="18">
        <v>0</v>
      </c>
      <c r="J97" s="18">
        <f t="shared" si="13"/>
        <v>30000</v>
      </c>
      <c r="K97" s="5">
        <v>1</v>
      </c>
      <c r="L97" s="5">
        <f t="shared" si="17"/>
        <v>30000</v>
      </c>
      <c r="M97" s="5">
        <v>1</v>
      </c>
      <c r="N97" s="19">
        <f t="shared" si="15"/>
        <v>140000</v>
      </c>
    </row>
    <row r="98" spans="1:14" x14ac:dyDescent="0.45">
      <c r="A98" s="17">
        <f t="shared" si="16"/>
        <v>97</v>
      </c>
      <c r="B98" s="5" t="s">
        <v>164</v>
      </c>
      <c r="C98" s="18" t="s">
        <v>355</v>
      </c>
      <c r="D98" s="18">
        <f t="shared" ref="D98:D101" si="18">E98*2000</f>
        <v>0</v>
      </c>
      <c r="E98" s="18">
        <v>0</v>
      </c>
      <c r="F98" s="18">
        <f t="shared" ref="F98:F101" si="19">G98*20000</f>
        <v>20000</v>
      </c>
      <c r="G98" s="18">
        <v>1</v>
      </c>
      <c r="H98" s="18">
        <f t="shared" ref="H98:H101" si="20">I98*30000</f>
        <v>0</v>
      </c>
      <c r="I98" s="18">
        <v>0</v>
      </c>
      <c r="J98" s="18">
        <f t="shared" si="13"/>
        <v>60000</v>
      </c>
      <c r="K98" s="5">
        <v>2</v>
      </c>
      <c r="L98" s="5">
        <f t="shared" si="17"/>
        <v>30000</v>
      </c>
      <c r="M98" s="5">
        <v>1</v>
      </c>
      <c r="N98" s="19">
        <f t="shared" si="15"/>
        <v>90000</v>
      </c>
    </row>
    <row r="99" spans="1:14" x14ac:dyDescent="0.45">
      <c r="A99" s="17">
        <f t="shared" si="16"/>
        <v>98</v>
      </c>
      <c r="B99" s="5" t="s">
        <v>165</v>
      </c>
      <c r="C99" s="18" t="s">
        <v>355</v>
      </c>
      <c r="D99" s="18">
        <f t="shared" si="18"/>
        <v>0</v>
      </c>
      <c r="E99" s="18">
        <v>0</v>
      </c>
      <c r="F99" s="18">
        <f t="shared" si="19"/>
        <v>0</v>
      </c>
      <c r="G99" s="18">
        <v>0</v>
      </c>
      <c r="H99" s="18">
        <f t="shared" si="20"/>
        <v>0</v>
      </c>
      <c r="I99" s="18">
        <v>0</v>
      </c>
      <c r="J99" s="18">
        <f t="shared" si="13"/>
        <v>0</v>
      </c>
      <c r="K99" s="5">
        <v>0</v>
      </c>
      <c r="L99" s="5">
        <f t="shared" si="17"/>
        <v>0</v>
      </c>
      <c r="M99" s="5">
        <v>0</v>
      </c>
      <c r="N99" s="19">
        <f t="shared" si="15"/>
        <v>200000</v>
      </c>
    </row>
    <row r="100" spans="1:14" x14ac:dyDescent="0.45">
      <c r="A100" s="17">
        <f t="shared" si="16"/>
        <v>99</v>
      </c>
      <c r="B100" s="5" t="s">
        <v>166</v>
      </c>
      <c r="C100" s="18" t="s">
        <v>355</v>
      </c>
      <c r="D100" s="18">
        <f t="shared" si="18"/>
        <v>0</v>
      </c>
      <c r="E100" s="18">
        <v>0</v>
      </c>
      <c r="F100" s="18">
        <f t="shared" si="19"/>
        <v>0</v>
      </c>
      <c r="G100" s="18">
        <v>0</v>
      </c>
      <c r="H100" s="18">
        <f t="shared" si="20"/>
        <v>0</v>
      </c>
      <c r="I100" s="18">
        <v>0</v>
      </c>
      <c r="J100" s="18">
        <f t="shared" si="13"/>
        <v>60000</v>
      </c>
      <c r="K100" s="5">
        <v>2</v>
      </c>
      <c r="L100" s="5">
        <f t="shared" si="17"/>
        <v>30000</v>
      </c>
      <c r="M100" s="5">
        <v>1</v>
      </c>
      <c r="N100" s="19">
        <f t="shared" si="15"/>
        <v>110000</v>
      </c>
    </row>
    <row r="101" spans="1:14" x14ac:dyDescent="0.45">
      <c r="A101" s="20">
        <f t="shared" si="16"/>
        <v>100</v>
      </c>
      <c r="B101" s="5" t="s">
        <v>167</v>
      </c>
      <c r="C101" s="18" t="s">
        <v>355</v>
      </c>
      <c r="D101" s="18">
        <f t="shared" si="18"/>
        <v>0</v>
      </c>
      <c r="E101" s="18">
        <v>0</v>
      </c>
      <c r="F101" s="21">
        <f t="shared" si="19"/>
        <v>0</v>
      </c>
      <c r="G101" s="18">
        <v>0</v>
      </c>
      <c r="H101" s="21">
        <f t="shared" si="20"/>
        <v>0</v>
      </c>
      <c r="I101" s="18">
        <v>0</v>
      </c>
      <c r="J101" s="18">
        <f t="shared" si="13"/>
        <v>0</v>
      </c>
      <c r="K101" s="5">
        <v>0</v>
      </c>
      <c r="L101" s="15">
        <f t="shared" si="17"/>
        <v>0</v>
      </c>
      <c r="M101" s="5">
        <v>0</v>
      </c>
      <c r="N101" s="22">
        <f t="shared" si="15"/>
        <v>200000</v>
      </c>
    </row>
    <row r="102" spans="1:14" x14ac:dyDescent="0.45">
      <c r="A102" s="17">
        <f t="shared" ref="A102:A121" si="21">ROW(A102)-1</f>
        <v>101</v>
      </c>
      <c r="B102" s="5" t="s">
        <v>168</v>
      </c>
      <c r="C102" s="18" t="s">
        <v>355</v>
      </c>
      <c r="D102" s="18">
        <f t="shared" ref="D102:D121" si="22">E102*2000</f>
        <v>0</v>
      </c>
      <c r="E102" s="18">
        <v>0</v>
      </c>
      <c r="F102" s="18">
        <f t="shared" ref="F102:F121" si="23">G102*20000</f>
        <v>0</v>
      </c>
      <c r="G102" s="18">
        <v>0</v>
      </c>
      <c r="H102" s="18">
        <f t="shared" ref="H102:H121" si="24">I102*30000</f>
        <v>0</v>
      </c>
      <c r="I102" s="18">
        <v>0</v>
      </c>
      <c r="J102" s="18">
        <f t="shared" ref="J102:J121" si="25">K102*30000</f>
        <v>30000</v>
      </c>
      <c r="K102" s="5">
        <v>1</v>
      </c>
      <c r="L102" s="5">
        <f t="shared" si="17"/>
        <v>30000</v>
      </c>
      <c r="M102" s="5">
        <v>1</v>
      </c>
      <c r="N102" s="19">
        <f t="shared" ref="N102:N121" si="26">200000-L102-J102-H102-F102-D102</f>
        <v>140000</v>
      </c>
    </row>
    <row r="103" spans="1:14" x14ac:dyDescent="0.45">
      <c r="A103" s="17">
        <f t="shared" si="21"/>
        <v>102</v>
      </c>
      <c r="B103" s="5" t="s">
        <v>169</v>
      </c>
      <c r="C103" s="18" t="s">
        <v>355</v>
      </c>
      <c r="D103" s="18">
        <f t="shared" si="22"/>
        <v>0</v>
      </c>
      <c r="E103" s="18">
        <v>0</v>
      </c>
      <c r="F103" s="18">
        <f t="shared" si="23"/>
        <v>0</v>
      </c>
      <c r="G103" s="18">
        <v>0</v>
      </c>
      <c r="H103" s="18">
        <f t="shared" si="24"/>
        <v>0</v>
      </c>
      <c r="I103" s="18">
        <v>0</v>
      </c>
      <c r="J103" s="18">
        <f t="shared" si="25"/>
        <v>30000</v>
      </c>
      <c r="K103" s="5">
        <v>1</v>
      </c>
      <c r="L103" s="5">
        <f t="shared" si="17"/>
        <v>0</v>
      </c>
      <c r="M103" s="5">
        <v>0</v>
      </c>
      <c r="N103" s="19">
        <f t="shared" si="26"/>
        <v>170000</v>
      </c>
    </row>
    <row r="104" spans="1:14" x14ac:dyDescent="0.45">
      <c r="A104" s="17">
        <f t="shared" si="21"/>
        <v>103</v>
      </c>
      <c r="B104" s="5" t="s">
        <v>170</v>
      </c>
      <c r="C104" s="18" t="s">
        <v>355</v>
      </c>
      <c r="D104" s="18">
        <f t="shared" si="22"/>
        <v>0</v>
      </c>
      <c r="E104" s="18">
        <v>0</v>
      </c>
      <c r="F104" s="18">
        <f t="shared" si="23"/>
        <v>0</v>
      </c>
      <c r="G104" s="18">
        <v>0</v>
      </c>
      <c r="H104" s="18">
        <f t="shared" si="24"/>
        <v>0</v>
      </c>
      <c r="I104" s="18">
        <v>0</v>
      </c>
      <c r="J104" s="18">
        <f t="shared" si="25"/>
        <v>30000</v>
      </c>
      <c r="K104" s="5">
        <v>1</v>
      </c>
      <c r="L104" s="5">
        <f t="shared" si="17"/>
        <v>0</v>
      </c>
      <c r="M104" s="5">
        <v>0</v>
      </c>
      <c r="N104" s="19">
        <f t="shared" si="26"/>
        <v>170000</v>
      </c>
    </row>
    <row r="105" spans="1:14" x14ac:dyDescent="0.45">
      <c r="A105" s="17">
        <f t="shared" si="21"/>
        <v>104</v>
      </c>
      <c r="B105" s="5" t="s">
        <v>171</v>
      </c>
      <c r="C105" s="18" t="s">
        <v>355</v>
      </c>
      <c r="D105" s="18">
        <f t="shared" si="22"/>
        <v>0</v>
      </c>
      <c r="E105" s="18">
        <v>0</v>
      </c>
      <c r="F105" s="18">
        <f t="shared" si="23"/>
        <v>0</v>
      </c>
      <c r="G105" s="18">
        <v>0</v>
      </c>
      <c r="H105" s="18">
        <f t="shared" si="24"/>
        <v>0</v>
      </c>
      <c r="I105" s="18">
        <v>0</v>
      </c>
      <c r="J105" s="18">
        <f t="shared" si="25"/>
        <v>150000</v>
      </c>
      <c r="K105" s="5">
        <v>5</v>
      </c>
      <c r="L105" s="5">
        <f t="shared" si="17"/>
        <v>90000</v>
      </c>
      <c r="M105" s="5">
        <v>3</v>
      </c>
      <c r="N105" s="19">
        <f t="shared" si="26"/>
        <v>-40000</v>
      </c>
    </row>
    <row r="106" spans="1:14" x14ac:dyDescent="0.45">
      <c r="A106" s="17">
        <f t="shared" si="21"/>
        <v>105</v>
      </c>
      <c r="B106" s="5" t="s">
        <v>172</v>
      </c>
      <c r="C106" s="18" t="s">
        <v>355</v>
      </c>
      <c r="D106" s="18">
        <f t="shared" si="22"/>
        <v>0</v>
      </c>
      <c r="E106" s="18">
        <v>0</v>
      </c>
      <c r="F106" s="18">
        <f t="shared" si="23"/>
        <v>0</v>
      </c>
      <c r="G106" s="18">
        <v>0</v>
      </c>
      <c r="H106" s="18">
        <f t="shared" si="24"/>
        <v>0</v>
      </c>
      <c r="I106" s="18">
        <v>0</v>
      </c>
      <c r="J106" s="18">
        <f t="shared" si="25"/>
        <v>0</v>
      </c>
      <c r="K106" s="5">
        <v>0</v>
      </c>
      <c r="L106" s="5">
        <f t="shared" si="17"/>
        <v>0</v>
      </c>
      <c r="M106" s="5">
        <v>0</v>
      </c>
      <c r="N106" s="19">
        <f t="shared" si="26"/>
        <v>200000</v>
      </c>
    </row>
    <row r="107" spans="1:14" x14ac:dyDescent="0.45">
      <c r="A107" s="17">
        <f t="shared" si="21"/>
        <v>106</v>
      </c>
      <c r="B107" s="5" t="s">
        <v>173</v>
      </c>
      <c r="C107" s="18" t="s">
        <v>355</v>
      </c>
      <c r="D107" s="18">
        <f t="shared" si="22"/>
        <v>0</v>
      </c>
      <c r="E107" s="18">
        <v>0</v>
      </c>
      <c r="F107" s="18">
        <f t="shared" si="23"/>
        <v>0</v>
      </c>
      <c r="G107" s="18">
        <v>0</v>
      </c>
      <c r="H107" s="18">
        <f t="shared" si="24"/>
        <v>0</v>
      </c>
      <c r="I107" s="18">
        <v>0</v>
      </c>
      <c r="J107" s="18">
        <f t="shared" si="25"/>
        <v>0</v>
      </c>
      <c r="K107" s="18">
        <v>0</v>
      </c>
      <c r="L107" s="18">
        <f t="shared" ref="L107:L121" si="27">M107*50000</f>
        <v>0</v>
      </c>
      <c r="M107" s="18">
        <v>0</v>
      </c>
      <c r="N107" s="19">
        <f t="shared" si="26"/>
        <v>200000</v>
      </c>
    </row>
    <row r="108" spans="1:14" x14ac:dyDescent="0.45">
      <c r="A108" s="17">
        <f t="shared" si="21"/>
        <v>107</v>
      </c>
      <c r="B108" s="5" t="s">
        <v>174</v>
      </c>
      <c r="C108" s="18" t="s">
        <v>355</v>
      </c>
      <c r="D108" s="18">
        <f t="shared" si="22"/>
        <v>0</v>
      </c>
      <c r="E108" s="18">
        <v>0</v>
      </c>
      <c r="F108" s="18">
        <f t="shared" si="23"/>
        <v>0</v>
      </c>
      <c r="G108" s="18">
        <v>0</v>
      </c>
      <c r="H108" s="18">
        <f t="shared" si="24"/>
        <v>0</v>
      </c>
      <c r="I108" s="18">
        <v>0</v>
      </c>
      <c r="J108" s="18">
        <f t="shared" si="25"/>
        <v>0</v>
      </c>
      <c r="K108" s="18">
        <v>0</v>
      </c>
      <c r="L108" s="18">
        <f t="shared" si="27"/>
        <v>0</v>
      </c>
      <c r="M108" s="18">
        <v>0</v>
      </c>
      <c r="N108" s="19">
        <f t="shared" si="26"/>
        <v>200000</v>
      </c>
    </row>
    <row r="109" spans="1:14" x14ac:dyDescent="0.45">
      <c r="A109" s="17">
        <f t="shared" si="21"/>
        <v>108</v>
      </c>
      <c r="B109" s="5" t="s">
        <v>175</v>
      </c>
      <c r="C109" s="18" t="s">
        <v>355</v>
      </c>
      <c r="D109" s="18">
        <f t="shared" si="22"/>
        <v>0</v>
      </c>
      <c r="E109" s="18">
        <v>0</v>
      </c>
      <c r="F109" s="18">
        <f t="shared" si="23"/>
        <v>0</v>
      </c>
      <c r="G109" s="18">
        <v>0</v>
      </c>
      <c r="H109" s="18">
        <f t="shared" si="24"/>
        <v>0</v>
      </c>
      <c r="I109" s="18">
        <v>0</v>
      </c>
      <c r="J109" s="18">
        <f t="shared" si="25"/>
        <v>0</v>
      </c>
      <c r="K109" s="18">
        <v>0</v>
      </c>
      <c r="L109" s="18">
        <f t="shared" si="27"/>
        <v>0</v>
      </c>
      <c r="M109" s="18">
        <v>0</v>
      </c>
      <c r="N109" s="19">
        <f t="shared" si="26"/>
        <v>200000</v>
      </c>
    </row>
    <row r="110" spans="1:14" x14ac:dyDescent="0.45">
      <c r="A110" s="17">
        <f t="shared" si="21"/>
        <v>109</v>
      </c>
      <c r="B110" s="5" t="s">
        <v>176</v>
      </c>
      <c r="C110" s="18" t="s">
        <v>355</v>
      </c>
      <c r="D110" s="18">
        <f t="shared" si="22"/>
        <v>0</v>
      </c>
      <c r="E110" s="18">
        <v>0</v>
      </c>
      <c r="F110" s="18">
        <f t="shared" si="23"/>
        <v>0</v>
      </c>
      <c r="G110" s="18">
        <v>0</v>
      </c>
      <c r="H110" s="18">
        <f t="shared" si="24"/>
        <v>0</v>
      </c>
      <c r="I110" s="18">
        <v>0</v>
      </c>
      <c r="J110" s="18">
        <f t="shared" si="25"/>
        <v>0</v>
      </c>
      <c r="K110" s="18">
        <v>0</v>
      </c>
      <c r="L110" s="18">
        <f t="shared" si="27"/>
        <v>0</v>
      </c>
      <c r="M110" s="18">
        <v>0</v>
      </c>
      <c r="N110" s="19">
        <f t="shared" si="26"/>
        <v>200000</v>
      </c>
    </row>
    <row r="111" spans="1:14" x14ac:dyDescent="0.45">
      <c r="A111" s="17">
        <f t="shared" si="21"/>
        <v>110</v>
      </c>
      <c r="B111" s="5" t="s">
        <v>177</v>
      </c>
      <c r="C111" s="18" t="s">
        <v>355</v>
      </c>
      <c r="D111" s="18">
        <f t="shared" si="22"/>
        <v>0</v>
      </c>
      <c r="E111" s="18">
        <v>0</v>
      </c>
      <c r="F111" s="18">
        <f t="shared" si="23"/>
        <v>0</v>
      </c>
      <c r="G111" s="18">
        <v>0</v>
      </c>
      <c r="H111" s="18">
        <f t="shared" si="24"/>
        <v>0</v>
      </c>
      <c r="I111" s="18">
        <v>0</v>
      </c>
      <c r="J111" s="18">
        <f t="shared" si="25"/>
        <v>0</v>
      </c>
      <c r="K111" s="18">
        <v>0</v>
      </c>
      <c r="L111" s="18">
        <f t="shared" si="27"/>
        <v>0</v>
      </c>
      <c r="M111" s="18">
        <v>0</v>
      </c>
      <c r="N111" s="19">
        <f t="shared" si="26"/>
        <v>200000</v>
      </c>
    </row>
    <row r="112" spans="1:14" x14ac:dyDescent="0.45">
      <c r="A112" s="17">
        <f t="shared" si="21"/>
        <v>111</v>
      </c>
      <c r="B112" s="5" t="s">
        <v>178</v>
      </c>
      <c r="C112" s="18" t="s">
        <v>355</v>
      </c>
      <c r="D112" s="18">
        <f t="shared" si="22"/>
        <v>0</v>
      </c>
      <c r="E112" s="18">
        <v>0</v>
      </c>
      <c r="F112" s="18">
        <f t="shared" si="23"/>
        <v>0</v>
      </c>
      <c r="G112" s="18">
        <v>0</v>
      </c>
      <c r="H112" s="18">
        <f t="shared" si="24"/>
        <v>0</v>
      </c>
      <c r="I112" s="18">
        <v>0</v>
      </c>
      <c r="J112" s="18">
        <f t="shared" si="25"/>
        <v>0</v>
      </c>
      <c r="K112" s="18">
        <v>0</v>
      </c>
      <c r="L112" s="18">
        <f t="shared" si="27"/>
        <v>0</v>
      </c>
      <c r="M112" s="18">
        <v>0</v>
      </c>
      <c r="N112" s="19">
        <f t="shared" si="26"/>
        <v>200000</v>
      </c>
    </row>
    <row r="113" spans="1:14" x14ac:dyDescent="0.45">
      <c r="A113" s="17">
        <f t="shared" si="21"/>
        <v>112</v>
      </c>
      <c r="B113" s="5" t="s">
        <v>179</v>
      </c>
      <c r="C113" s="18" t="s">
        <v>355</v>
      </c>
      <c r="D113" s="18">
        <f t="shared" si="22"/>
        <v>0</v>
      </c>
      <c r="E113" s="18">
        <v>0</v>
      </c>
      <c r="F113" s="18">
        <f t="shared" si="23"/>
        <v>0</v>
      </c>
      <c r="G113" s="18">
        <v>0</v>
      </c>
      <c r="H113" s="18">
        <f t="shared" si="24"/>
        <v>0</v>
      </c>
      <c r="I113" s="18">
        <v>0</v>
      </c>
      <c r="J113" s="18">
        <f t="shared" si="25"/>
        <v>0</v>
      </c>
      <c r="K113" s="18">
        <v>0</v>
      </c>
      <c r="L113" s="18">
        <f t="shared" si="27"/>
        <v>0</v>
      </c>
      <c r="M113" s="18">
        <v>0</v>
      </c>
      <c r="N113" s="19">
        <f t="shared" si="26"/>
        <v>200000</v>
      </c>
    </row>
    <row r="114" spans="1:14" x14ac:dyDescent="0.45">
      <c r="A114" s="17">
        <f t="shared" si="21"/>
        <v>113</v>
      </c>
      <c r="B114" s="5" t="s">
        <v>180</v>
      </c>
      <c r="C114" s="18" t="s">
        <v>355</v>
      </c>
      <c r="D114" s="18">
        <f t="shared" si="22"/>
        <v>0</v>
      </c>
      <c r="E114" s="18">
        <v>0</v>
      </c>
      <c r="F114" s="18">
        <f t="shared" si="23"/>
        <v>0</v>
      </c>
      <c r="G114" s="18">
        <v>0</v>
      </c>
      <c r="H114" s="18">
        <f t="shared" si="24"/>
        <v>0</v>
      </c>
      <c r="I114" s="18">
        <v>0</v>
      </c>
      <c r="J114" s="18">
        <f t="shared" si="25"/>
        <v>0</v>
      </c>
      <c r="K114" s="18">
        <v>0</v>
      </c>
      <c r="L114" s="18">
        <f t="shared" si="27"/>
        <v>0</v>
      </c>
      <c r="M114" s="18">
        <v>0</v>
      </c>
      <c r="N114" s="19">
        <f t="shared" si="26"/>
        <v>200000</v>
      </c>
    </row>
    <row r="115" spans="1:14" x14ac:dyDescent="0.45">
      <c r="A115" s="17">
        <f t="shared" si="21"/>
        <v>114</v>
      </c>
      <c r="B115" s="5" t="s">
        <v>181</v>
      </c>
      <c r="C115" s="18" t="s">
        <v>355</v>
      </c>
      <c r="D115" s="18">
        <f t="shared" si="22"/>
        <v>0</v>
      </c>
      <c r="E115" s="18">
        <v>0</v>
      </c>
      <c r="F115" s="18">
        <f t="shared" si="23"/>
        <v>0</v>
      </c>
      <c r="G115" s="18">
        <v>0</v>
      </c>
      <c r="H115" s="18">
        <f t="shared" si="24"/>
        <v>0</v>
      </c>
      <c r="I115" s="18">
        <v>0</v>
      </c>
      <c r="J115" s="18">
        <f t="shared" si="25"/>
        <v>0</v>
      </c>
      <c r="K115" s="18">
        <v>0</v>
      </c>
      <c r="L115" s="18">
        <f t="shared" si="27"/>
        <v>0</v>
      </c>
      <c r="M115" s="18">
        <v>0</v>
      </c>
      <c r="N115" s="19">
        <f t="shared" si="26"/>
        <v>200000</v>
      </c>
    </row>
    <row r="116" spans="1:14" x14ac:dyDescent="0.45">
      <c r="A116" s="17">
        <f t="shared" si="21"/>
        <v>115</v>
      </c>
      <c r="B116" s="5" t="s">
        <v>182</v>
      </c>
      <c r="C116" s="18" t="s">
        <v>355</v>
      </c>
      <c r="D116" s="18">
        <f t="shared" si="22"/>
        <v>0</v>
      </c>
      <c r="E116" s="18">
        <v>0</v>
      </c>
      <c r="F116" s="18">
        <f t="shared" si="23"/>
        <v>0</v>
      </c>
      <c r="G116" s="18">
        <v>0</v>
      </c>
      <c r="H116" s="18">
        <f t="shared" si="24"/>
        <v>0</v>
      </c>
      <c r="I116" s="18">
        <v>0</v>
      </c>
      <c r="J116" s="18">
        <f t="shared" si="25"/>
        <v>0</v>
      </c>
      <c r="K116" s="18">
        <v>0</v>
      </c>
      <c r="L116" s="18">
        <f t="shared" si="27"/>
        <v>0</v>
      </c>
      <c r="M116" s="18">
        <v>0</v>
      </c>
      <c r="N116" s="19">
        <f t="shared" si="26"/>
        <v>200000</v>
      </c>
    </row>
    <row r="117" spans="1:14" x14ac:dyDescent="0.45">
      <c r="A117" s="17">
        <f t="shared" si="21"/>
        <v>116</v>
      </c>
      <c r="B117" s="5" t="s">
        <v>183</v>
      </c>
      <c r="C117" s="18" t="s">
        <v>355</v>
      </c>
      <c r="D117" s="18">
        <f t="shared" si="22"/>
        <v>0</v>
      </c>
      <c r="E117" s="18">
        <v>0</v>
      </c>
      <c r="F117" s="18">
        <f t="shared" si="23"/>
        <v>0</v>
      </c>
      <c r="G117" s="18">
        <v>0</v>
      </c>
      <c r="H117" s="18">
        <f t="shared" si="24"/>
        <v>0</v>
      </c>
      <c r="I117" s="18">
        <v>0</v>
      </c>
      <c r="J117" s="18">
        <f t="shared" si="25"/>
        <v>0</v>
      </c>
      <c r="K117" s="18">
        <v>0</v>
      </c>
      <c r="L117" s="18">
        <f t="shared" si="27"/>
        <v>0</v>
      </c>
      <c r="M117" s="18">
        <v>0</v>
      </c>
      <c r="N117" s="19">
        <f t="shared" si="26"/>
        <v>200000</v>
      </c>
    </row>
    <row r="118" spans="1:14" x14ac:dyDescent="0.45">
      <c r="A118" s="17">
        <f t="shared" si="21"/>
        <v>117</v>
      </c>
      <c r="B118" s="5" t="s">
        <v>184</v>
      </c>
      <c r="C118" s="18" t="s">
        <v>355</v>
      </c>
      <c r="D118" s="18">
        <f t="shared" si="22"/>
        <v>0</v>
      </c>
      <c r="E118" s="18">
        <v>0</v>
      </c>
      <c r="F118" s="18">
        <f t="shared" si="23"/>
        <v>0</v>
      </c>
      <c r="G118" s="18">
        <v>0</v>
      </c>
      <c r="H118" s="18">
        <f t="shared" si="24"/>
        <v>0</v>
      </c>
      <c r="I118" s="18">
        <v>0</v>
      </c>
      <c r="J118" s="18">
        <f t="shared" si="25"/>
        <v>0</v>
      </c>
      <c r="K118" s="18">
        <v>0</v>
      </c>
      <c r="L118" s="18">
        <f t="shared" si="27"/>
        <v>0</v>
      </c>
      <c r="M118" s="18">
        <v>0</v>
      </c>
      <c r="N118" s="19">
        <f t="shared" si="26"/>
        <v>200000</v>
      </c>
    </row>
    <row r="119" spans="1:14" x14ac:dyDescent="0.45">
      <c r="A119" s="17">
        <f t="shared" si="21"/>
        <v>118</v>
      </c>
      <c r="B119" s="5" t="s">
        <v>185</v>
      </c>
      <c r="C119" s="18" t="s">
        <v>355</v>
      </c>
      <c r="D119" s="18">
        <f t="shared" si="22"/>
        <v>0</v>
      </c>
      <c r="E119" s="18">
        <v>0</v>
      </c>
      <c r="F119" s="18">
        <f t="shared" si="23"/>
        <v>0</v>
      </c>
      <c r="G119" s="18">
        <v>0</v>
      </c>
      <c r="H119" s="18">
        <f t="shared" si="24"/>
        <v>0</v>
      </c>
      <c r="I119" s="18">
        <v>0</v>
      </c>
      <c r="J119" s="18">
        <f t="shared" si="25"/>
        <v>0</v>
      </c>
      <c r="K119" s="18">
        <v>0</v>
      </c>
      <c r="L119" s="18">
        <f t="shared" si="27"/>
        <v>0</v>
      </c>
      <c r="M119" s="18">
        <v>0</v>
      </c>
      <c r="N119" s="19">
        <f t="shared" si="26"/>
        <v>200000</v>
      </c>
    </row>
    <row r="120" spans="1:14" x14ac:dyDescent="0.45">
      <c r="A120" s="17">
        <f t="shared" si="21"/>
        <v>119</v>
      </c>
      <c r="B120" s="5" t="s">
        <v>186</v>
      </c>
      <c r="C120" s="18" t="s">
        <v>355</v>
      </c>
      <c r="D120" s="18">
        <f t="shared" si="22"/>
        <v>0</v>
      </c>
      <c r="E120" s="18">
        <v>0</v>
      </c>
      <c r="F120" s="18">
        <f t="shared" si="23"/>
        <v>0</v>
      </c>
      <c r="G120" s="18">
        <v>0</v>
      </c>
      <c r="H120" s="18">
        <f t="shared" si="24"/>
        <v>0</v>
      </c>
      <c r="I120" s="18">
        <v>0</v>
      </c>
      <c r="J120" s="18">
        <f t="shared" si="25"/>
        <v>0</v>
      </c>
      <c r="K120" s="18">
        <v>0</v>
      </c>
      <c r="L120" s="18">
        <f t="shared" si="27"/>
        <v>0</v>
      </c>
      <c r="M120" s="18">
        <v>0</v>
      </c>
      <c r="N120" s="19">
        <f t="shared" si="26"/>
        <v>200000</v>
      </c>
    </row>
    <row r="121" spans="1:14" x14ac:dyDescent="0.45">
      <c r="A121" s="17">
        <f t="shared" si="21"/>
        <v>120</v>
      </c>
      <c r="B121" s="5" t="s">
        <v>187</v>
      </c>
      <c r="C121" s="18" t="s">
        <v>355</v>
      </c>
      <c r="D121" s="18">
        <f t="shared" si="22"/>
        <v>0</v>
      </c>
      <c r="E121" s="18">
        <v>0</v>
      </c>
      <c r="F121" s="18">
        <f t="shared" si="23"/>
        <v>0</v>
      </c>
      <c r="G121" s="18">
        <v>0</v>
      </c>
      <c r="H121" s="18">
        <f t="shared" si="24"/>
        <v>0</v>
      </c>
      <c r="I121" s="18">
        <v>0</v>
      </c>
      <c r="J121" s="18">
        <f t="shared" si="25"/>
        <v>0</v>
      </c>
      <c r="K121" s="18">
        <v>0</v>
      </c>
      <c r="L121" s="18">
        <f t="shared" si="27"/>
        <v>0</v>
      </c>
      <c r="M121" s="18">
        <v>0</v>
      </c>
      <c r="N121" s="19">
        <f t="shared" si="26"/>
        <v>200000</v>
      </c>
    </row>
  </sheetData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مرجع!$A:$A</xm:f>
          </x14:formula1>
          <xm:sqref>B2:B121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مترجم</vt:lpstr>
      <vt:lpstr>مرجع</vt:lpstr>
      <vt:lpstr>سالن</vt:lpstr>
      <vt:lpstr>کال سنتر</vt:lpstr>
      <vt:lpstr>صندوق</vt:lpstr>
      <vt:lpstr>آشپزخانه</vt:lpstr>
      <vt:lpstr>تولید</vt:lpstr>
      <vt:lpstr>کانتر سالن(پاداش)</vt:lpstr>
      <vt:lpstr>کانتر ارسال(پاداش)</vt:lpstr>
      <vt:lpstr>سرپیک ( پاداش )</vt:lpstr>
      <vt:lpstr>سراپراتور ( پاداش 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ashraf</dc:creator>
  <cp:lastModifiedBy>atorina 3</cp:lastModifiedBy>
  <cp:lastPrinted>2026-06-24T00:37:12Z</cp:lastPrinted>
  <dcterms:created xsi:type="dcterms:W3CDTF">2025-09-24T17:10:05Z</dcterms:created>
  <dcterms:modified xsi:type="dcterms:W3CDTF">2026-09-13T16:00:23Z</dcterms:modified>
</cp:coreProperties>
</file>